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uvietanh\dotnet\ProjectInternship\Test\"/>
    </mc:Choice>
  </mc:AlternateContent>
  <xr:revisionPtr revIDLastSave="0" documentId="13_ncr:1_{6B230C15-6EB1-4550-A133-AD302C0A7C59}" xr6:coauthVersionLast="47" xr6:coauthVersionMax="47" xr10:uidLastSave="{00000000-0000-0000-0000-000000000000}"/>
  <bookViews>
    <workbookView xWindow="-110" yWindow="-110" windowWidth="19420" windowHeight="10300" xr2:uid="{7B3AE2A3-ED84-417E-8DDE-C06BE3AFCE0C}"/>
  </bookViews>
  <sheets>
    <sheet name="2026030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21" i="4" l="1"/>
  <c r="BK3" i="4" s="1"/>
  <c r="BM3" i="4" s="1"/>
  <c r="BK122" i="4"/>
  <c r="BK123" i="4"/>
  <c r="BK124" i="4"/>
  <c r="BK125" i="4"/>
  <c r="BK126" i="4"/>
  <c r="BK127" i="4"/>
  <c r="BK128" i="4"/>
  <c r="BK129" i="4"/>
  <c r="BK130" i="4"/>
  <c r="BK131" i="4"/>
  <c r="BL3" i="4"/>
</calcChain>
</file>

<file path=xl/sharedStrings.xml><?xml version="1.0" encoding="utf-8"?>
<sst xmlns="http://schemas.openxmlformats.org/spreadsheetml/2006/main" count="177" uniqueCount="133">
  <si>
    <t>STT</t>
  </si>
  <si>
    <t>Evidence</t>
  </si>
  <si>
    <t>Test Item</t>
  </si>
  <si>
    <t>Values/ Methods/ Conditions</t>
  </si>
  <si>
    <t>Kết quả dự kiến</t>
  </si>
  <si>
    <t>Kết quả kiểm tra</t>
  </si>
  <si>
    <r>
      <rPr>
        <b/>
        <sz val="10"/>
        <color rgb="FF000000"/>
        <rFont val="メイリオ"/>
        <family val="3"/>
        <charset val="128"/>
      </rPr>
      <t>Ngày thực hiện:2026/03/03
Phụ trách：</t>
    </r>
    <r>
      <rPr>
        <b/>
        <sz val="10"/>
        <color rgb="FFFF0000"/>
        <rFont val="メイリオ"/>
        <family val="3"/>
        <charset val="128"/>
      </rPr>
      <t>Dân</t>
    </r>
  </si>
  <si>
    <t>Mức độ lỗi</t>
  </si>
  <si>
    <t>Điểm</t>
  </si>
  <si>
    <t>Thấp</t>
  </si>
  <si>
    <t>TB</t>
  </si>
  <si>
    <t>予定伝票一覧</t>
  </si>
  <si>
    <t>Thấp: hiển thị không đúng design, có thể dễ dàng sửa</t>
  </si>
  <si>
    <t>Cao</t>
  </si>
  <si>
    <t>Hiển thị khởi tạo</t>
  </si>
  <si>
    <t>Màn hình khởi tạo lần đầu</t>
  </si>
  <si>
    <t>Màn hình giống với desgin</t>
  </si>
  <si>
    <t>Trung bình: ảnh hưởng đến hoạt động của màn hình</t>
  </si>
  <si>
    <t>Các item input đều được để trống</t>
  </si>
  <si>
    <t>Cao: hoạt động không đúng, exception</t>
  </si>
  <si>
    <t>kết quả hiển thị để trống</t>
  </si>
  <si>
    <t>Validate</t>
  </si>
  <si>
    <t>kiểm tra tính đúng đắn của dữ liệu đầu vào</t>
  </si>
  <si>
    <t>伝票番号 From &gt; To</t>
  </si>
  <si>
    <t>Error Message</t>
  </si>
  <si>
    <t>伝票番号 From = To</t>
  </si>
  <si>
    <t>Hiển thị kết quả tìm kiếm</t>
  </si>
  <si>
    <t>伝票番号 From &lt; To</t>
  </si>
  <si>
    <t>伝票日付 From &gt; To</t>
  </si>
  <si>
    <t>伝票日付 From = To</t>
  </si>
  <si>
    <t>伝票日付 From &lt; To</t>
  </si>
  <si>
    <t>申請日 From &gt; To</t>
  </si>
  <si>
    <t>申請日 From = To</t>
  </si>
  <si>
    <t>申請日 From &lt; To</t>
  </si>
  <si>
    <t>出納方法 From &gt; To</t>
  </si>
  <si>
    <t>出納方法 From = To</t>
  </si>
  <si>
    <t>l</t>
  </si>
  <si>
    <t>出納方法 From &lt; To</t>
  </si>
  <si>
    <t>Tìm kiếm</t>
  </si>
  <si>
    <t>Tìm kiếm một phần</t>
  </si>
  <si>
    <t>kết quả hiển thị theo dữ liệu được nhập</t>
  </si>
  <si>
    <t>Tổng số tiền phải được tính đúng</t>
  </si>
  <si>
    <t>Tìm kiếm toàn bộ</t>
  </si>
  <si>
    <t>Tạo mới</t>
  </si>
  <si>
    <t>Bấm nút tạo mới</t>
  </si>
  <si>
    <t>Dịch chuyển đến màn hình 予定伝票入力 trong trạng thái tạo mới</t>
  </si>
  <si>
    <t>Edit dữ liệu</t>
  </si>
  <si>
    <t>Double click vào 1 record</t>
  </si>
  <si>
    <t>Dịch chuyển đến màn hình 予定伝票入力 trong trạng thái edit</t>
  </si>
  <si>
    <t>予定伝票入力</t>
  </si>
  <si>
    <t>Khởi tạo màn hình</t>
  </si>
  <si>
    <t>Trạng thái tạo mới</t>
  </si>
  <si>
    <t>màn hình hiển thị như design</t>
  </si>
  <si>
    <t>Mọi dữ liệu đều để trống</t>
  </si>
  <si>
    <t>Trạng thái edit</t>
  </si>
  <si>
    <t>Mọi dữ liệu đều được fill đầy đủ theo dữ liệu</t>
  </si>
  <si>
    <t>Kiểm tra sự hoạt động của 起票部門</t>
  </si>
  <si>
    <t>Click button chọn</t>
  </si>
  <si>
    <t>Màn hình tìm kiếm được hiển thị</t>
  </si>
  <si>
    <t>Sau khi đóng màn hình, code và tên được hiển thị vào đúng ô textbox</t>
  </si>
  <si>
    <t>Nhập code</t>
  </si>
  <si>
    <t>Nhập đúng</t>
  </si>
  <si>
    <t>Hiển thị tên theo database</t>
  </si>
  <si>
    <t>Nhập sai</t>
  </si>
  <si>
    <t>Không hiển thị tên</t>
  </si>
  <si>
    <t>Khi click button tạo mới</t>
  </si>
  <si>
    <t>Không nhập item nào</t>
  </si>
  <si>
    <t>Hiển thị danh sách message require</t>
  </si>
  <si>
    <t>Nhập sai định dạng</t>
  </si>
  <si>
    <t>Hiển thị danh sách message thông báo sai định dạng</t>
  </si>
  <si>
    <t>Tạo detail</t>
  </si>
  <si>
    <t>Click  button 明細追加</t>
  </si>
  <si>
    <t>Hiển thị màn hình 予定伝票明細</t>
  </si>
  <si>
    <t>Khi đóng màn hình 予定伝票明細, dữ liệu được fill vào table theo đúng yêu cầu của design</t>
  </si>
  <si>
    <t>Tổng số tiền được tính lại</t>
  </si>
  <si>
    <t>Sửa detail</t>
  </si>
  <si>
    <t>Click button 登録</t>
  </si>
  <si>
    <t>伝票番号 được tự động tạo ra, không trùng.</t>
  </si>
  <si>
    <t>伝票日付 lưu là ngày hôm nay</t>
  </si>
  <si>
    <t>起票部門 chỉ cần nhập mã</t>
  </si>
  <si>
    <t>Mọi dữ liệu được lưu vào table 予定伝票情報（見出し）</t>
  </si>
  <si>
    <t>Hiển thị message thành công, {mã số} được fill bằng 伝票番号 tự động sinh</t>
  </si>
  <si>
    <t>mọi item trong table được cập nhật tương ứng vào trong table 予定伝票情報（明細）</t>
  </si>
  <si>
    <t>trường 伝票番号 của 予定伝票情報（明細） tương đương với 伝票番号 trên màn hình</t>
  </si>
  <si>
    <t>Đóng message, clear toàn bộ dữ liệu</t>
  </si>
  <si>
    <t>Tìm kiếm lại dữ liệu</t>
  </si>
  <si>
    <t>Edit</t>
  </si>
  <si>
    <t>Hiển thị message thành công, {mã số} được fill bằng 伝票番号</t>
  </si>
  <si>
    <t>Trường hợp có dữ liệu trong table bị bôi xám (bị gắn cờ xóa) thì tiến hành xóa trong table 予定伝票情報（明細）</t>
  </si>
  <si>
    <t>Đóng message, trở về trang danh sách và load lại dữ liệu</t>
  </si>
  <si>
    <t>Xóa</t>
  </si>
  <si>
    <t>Click button 削除</t>
  </si>
  <si>
    <t>Hiển thị message hỏi xóa, nhấn OK tiến hành xóa, Cancel hủy xóa</t>
  </si>
  <si>
    <t>Dữ liệu được xóa khỏi table 予定伝票情報（見出し）</t>
  </si>
  <si>
    <t>Hiển thị message xóa thành công</t>
  </si>
  <si>
    <t>Đóng message , trở về màn danh sách và load lại dữ liệu</t>
  </si>
  <si>
    <t>Đóng màn hình</t>
  </si>
  <si>
    <t>trở về màn danh sách và load lại dữ liệu</t>
  </si>
  <si>
    <t>予定伝票明細</t>
  </si>
  <si>
    <t>Lưu dữ liệu vào local (chưa insert vào database), trở lại màn hình và load lại table</t>
  </si>
  <si>
    <t>Chỉnh sửa</t>
  </si>
  <si>
    <t>登録 được check</t>
  </si>
  <si>
    <t>dữ liệu bị gắn cờ xóa, trở lại màn hình 予定伝票入力 thì sẽ bị bôi xám</t>
  </si>
  <si>
    <t>Không lưu dữ liệu, trở lại màn hình</t>
  </si>
  <si>
    <t>màn hình popup 部門</t>
  </si>
  <si>
    <t>Input tìm kiếm để trống</t>
  </si>
  <si>
    <t>hiển thị toàn bộ dữ liệu theo table 部門</t>
  </si>
  <si>
    <t>Tìm kiếm 1 phần</t>
  </si>
  <si>
    <t>部門コード: tìm kiếm chính xác</t>
  </si>
  <si>
    <t>部門名: tìm kiếm một phần</t>
  </si>
  <si>
    <t>Hiển thị dữ liệu</t>
  </si>
  <si>
    <t>Không có dữ liệu</t>
  </si>
  <si>
    <t>danh sách trống</t>
  </si>
  <si>
    <t>選択</t>
  </si>
  <si>
    <t>Có chọn</t>
  </si>
  <si>
    <t xml:space="preserve">đóng màn hình popup, dữ liệu được fill vào 起票部門 theo đúng định dạng: </t>
  </si>
  <si>
    <t>code hiển thị ở ô đầu, name hiển thị ở ô sau</t>
  </si>
  <si>
    <t>Không chọn</t>
  </si>
  <si>
    <t>Hiển thị error message</t>
  </si>
  <si>
    <t>Đóng</t>
  </si>
  <si>
    <t>đóng màn hình popup mà không fill dữ liệu</t>
  </si>
  <si>
    <t>Reivew Code</t>
  </si>
  <si>
    <t xml:space="preserve">Bổ sung code comment </t>
  </si>
  <si>
    <t>Comment code ở đầu hàm</t>
  </si>
  <si>
    <t>Comment code theo xử lý</t>
  </si>
  <si>
    <t>Coding guid</t>
  </si>
  <si>
    <t>Code đúng quy tắc của ngôn ngữ</t>
  </si>
  <si>
    <t>Đặt tên hàm đúng format</t>
  </si>
  <si>
    <t>Đặt tên biến đúng format</t>
  </si>
  <si>
    <t>Đặt tên class đúng format</t>
  </si>
  <si>
    <t>Code dễ hiểu</t>
  </si>
  <si>
    <t>Code đọc dễ hiểu</t>
  </si>
  <si>
    <t>Không bị trùng lặp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</si>
</sst>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rgb="FF00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sz val="12"/>
      <name val="メイリオ"/>
      <family val="3"/>
    </font>
    <font>
      <sz val="12"/>
      <name val="メイリオ"/>
      <family val="3"/>
    </font>
    <font>
      <sz val="6"/>
      <name val="メイリオ"/>
      <family val="3"/>
    </font>
    <font>
      <b/>
      <sz val="10"/>
      <name val="メイリオ"/>
      <family val="3"/>
    </font>
    <font>
      <b/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</cellStyleXfs>
  <cellXfs count="91">
    <xf numFmtId="0" fontId="0" fillId="0" borderId="0" xfId="0"/>
    <xf numFmtId="0" fontId="0" fillId="0" borderId="18" xfId="0" applyBorder="1"/>
    <xf numFmtId="0" fontId="0" fillId="0" borderId="9" xfId="0" applyBorder="1"/>
    <xf numFmtId="0" fontId="0" fillId="0" borderId="19" xfId="0" applyBorder="1"/>
    <xf numFmtId="0" fontId="0" fillId="0" borderId="8" xfId="0" applyBorder="1"/>
    <xf numFmtId="0" fontId="0" fillId="0" borderId="20" xfId="0" applyBorder="1"/>
    <xf numFmtId="0" fontId="0" fillId="0" borderId="21" xfId="0" applyBorder="1"/>
    <xf numFmtId="0" fontId="0" fillId="0" borderId="10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4" xfId="0" applyBorder="1"/>
    <xf numFmtId="9" fontId="0" fillId="0" borderId="0" xfId="0" applyNumberFormat="1"/>
    <xf numFmtId="0" fontId="0" fillId="2" borderId="0" xfId="0" applyFill="1"/>
    <xf numFmtId="0" fontId="0" fillId="2" borderId="8" xfId="0" applyFill="1" applyBorder="1"/>
    <xf numFmtId="0" fontId="0" fillId="3" borderId="0" xfId="0" applyFill="1"/>
    <xf numFmtId="0" fontId="0" fillId="3" borderId="10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0" xfId="0" applyFill="1"/>
    <xf numFmtId="0" fontId="0" fillId="4" borderId="8" xfId="0" applyFill="1" applyBorder="1"/>
    <xf numFmtId="0" fontId="0" fillId="4" borderId="10" xfId="0" applyFill="1" applyBorder="1"/>
    <xf numFmtId="0" fontId="0" fillId="4" borderId="9" xfId="0" applyFill="1" applyBorder="1"/>
    <xf numFmtId="0" fontId="12" fillId="0" borderId="24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0" fillId="0" borderId="0" xfId="3" applyFont="1"/>
    <xf numFmtId="0" fontId="0" fillId="5" borderId="9" xfId="0" applyFill="1" applyBorder="1"/>
    <xf numFmtId="0" fontId="0" fillId="5" borderId="0" xfId="0" applyFill="1"/>
    <xf numFmtId="0" fontId="0" fillId="5" borderId="8" xfId="0" applyFill="1" applyBorder="1"/>
    <xf numFmtId="0" fontId="0" fillId="5" borderId="10" xfId="0" applyFill="1" applyBorder="1"/>
    <xf numFmtId="0" fontId="13" fillId="5" borderId="9" xfId="0" applyFont="1" applyFill="1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3" applyFont="1" applyBorder="1" applyAlignment="1">
      <alignment horizontal="center"/>
    </xf>
    <xf numFmtId="0" fontId="0" fillId="0" borderId="8" xfId="3" applyFont="1" applyBorder="1" applyAlignment="1">
      <alignment horizontal="center"/>
    </xf>
    <xf numFmtId="0" fontId="0" fillId="0" borderId="16" xfId="3" applyFont="1" applyBorder="1" applyAlignment="1">
      <alignment horizontal="center"/>
    </xf>
    <xf numFmtId="0" fontId="0" fillId="0" borderId="14" xfId="3" applyFont="1" applyBorder="1" applyAlignment="1">
      <alignment horizontal="center"/>
    </xf>
    <xf numFmtId="0" fontId="0" fillId="3" borderId="10" xfId="3" applyFont="1" applyFill="1" applyBorder="1" applyAlignment="1">
      <alignment horizontal="center"/>
    </xf>
    <xf numFmtId="0" fontId="0" fillId="3" borderId="8" xfId="3" applyFont="1" applyFill="1" applyBorder="1" applyAlignment="1">
      <alignment horizontal="center"/>
    </xf>
    <xf numFmtId="0" fontId="0" fillId="5" borderId="10" xfId="3" applyFont="1" applyFill="1" applyBorder="1" applyAlignment="1">
      <alignment horizontal="center"/>
    </xf>
    <xf numFmtId="0" fontId="0" fillId="5" borderId="8" xfId="3" applyFont="1" applyFill="1" applyBorder="1" applyAlignment="1">
      <alignment horizontal="center"/>
    </xf>
    <xf numFmtId="0" fontId="13" fillId="5" borderId="10" xfId="3" applyFont="1" applyFill="1" applyBorder="1" applyAlignment="1">
      <alignment horizontal="center"/>
    </xf>
    <xf numFmtId="0" fontId="13" fillId="5" borderId="8" xfId="3" applyFont="1" applyFill="1" applyBorder="1" applyAlignment="1">
      <alignment horizontal="center"/>
    </xf>
    <xf numFmtId="0" fontId="0" fillId="4" borderId="10" xfId="3" applyFont="1" applyFill="1" applyBorder="1" applyAlignment="1">
      <alignment horizontal="center"/>
    </xf>
    <xf numFmtId="0" fontId="0" fillId="4" borderId="8" xfId="3" applyFont="1" applyFill="1" applyBorder="1" applyAlignment="1">
      <alignment horizontal="center"/>
    </xf>
    <xf numFmtId="0" fontId="6" fillId="0" borderId="5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2" xfId="1" applyFont="1" applyBorder="1"/>
    <xf numFmtId="0" fontId="8" fillId="0" borderId="3" xfId="1" applyFont="1" applyBorder="1"/>
    <xf numFmtId="0" fontId="8" fillId="0" borderId="7" xfId="1" applyFont="1" applyBorder="1"/>
    <xf numFmtId="0" fontId="8" fillId="0" borderId="0" xfId="1" applyFont="1"/>
    <xf numFmtId="0" fontId="8" fillId="0" borderId="8" xfId="1" applyFont="1" applyBorder="1"/>
    <xf numFmtId="0" fontId="8" fillId="0" borderId="12" xfId="1" applyFont="1" applyBorder="1"/>
    <xf numFmtId="0" fontId="8" fillId="0" borderId="13" xfId="1" applyFont="1" applyBorder="1"/>
    <xf numFmtId="0" fontId="8" fillId="0" borderId="14" xfId="1" applyFont="1" applyBorder="1"/>
    <xf numFmtId="0" fontId="9" fillId="0" borderId="4" xfId="1" applyFont="1" applyBorder="1" applyAlignment="1">
      <alignment horizontal="center" vertical="center" textRotation="255"/>
    </xf>
    <xf numFmtId="0" fontId="9" fillId="0" borderId="9" xfId="1" applyFont="1" applyBorder="1" applyAlignment="1">
      <alignment horizontal="center" vertical="center" textRotation="255"/>
    </xf>
    <xf numFmtId="0" fontId="9" fillId="0" borderId="15" xfId="1" applyFont="1" applyBorder="1" applyAlignment="1">
      <alignment horizontal="center" vertical="center" textRotation="255"/>
    </xf>
    <xf numFmtId="0" fontId="8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</cellXfs>
  <cellStyles count="4">
    <cellStyle name="Normal" xfId="0" builtinId="0"/>
    <cellStyle name="Normal 2" xfId="2" xr:uid="{331A9615-1433-42DF-834B-E9EBAC47D117}"/>
    <cellStyle name="Normal 3" xfId="3" xr:uid="{83DDB499-DB2E-4225-B1BE-57CA46C850EE}"/>
    <cellStyle name="標準 2" xfId="1" xr:uid="{050796E9-E1C4-4474-AC71-66BE1E74A6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C5F1-BA1E-476F-854F-CB4A087F0688}">
  <dimension ref="A1:CJ610"/>
  <sheetViews>
    <sheetView tabSelected="1" topLeftCell="Y1" zoomScale="85" zoomScaleNormal="85" workbookViewId="0">
      <selection activeCell="BK7" sqref="BK7"/>
    </sheetView>
  </sheetViews>
  <sheetFormatPr defaultColWidth="3.25" defaultRowHeight="18" x14ac:dyDescent="0.55000000000000004"/>
  <cols>
    <col min="10" max="10" width="3.1640625" customWidth="1"/>
    <col min="11" max="15" width="3.25" hidden="1" customWidth="1"/>
    <col min="16" max="16" width="33.75" customWidth="1"/>
    <col min="35" max="35" width="27.1640625" customWidth="1"/>
    <col min="50" max="50" width="0.4140625" customWidth="1"/>
    <col min="51" max="52" width="3.25" hidden="1" customWidth="1"/>
    <col min="62" max="62" width="4.75" customWidth="1"/>
    <col min="63" max="63" width="4.25" customWidth="1"/>
    <col min="64" max="64" width="4.58203125" bestFit="1" customWidth="1"/>
    <col min="65" max="65" width="3.75" bestFit="1" customWidth="1"/>
    <col min="66" max="66" width="48.83203125" bestFit="1" customWidth="1"/>
    <col min="88" max="88" width="0" hidden="1" customWidth="1"/>
  </cols>
  <sheetData>
    <row r="1" spans="1:88" x14ac:dyDescent="0.55000000000000004">
      <c r="A1" s="61" t="s">
        <v>0</v>
      </c>
      <c r="B1" s="62"/>
      <c r="C1" s="63"/>
      <c r="D1" s="70" t="s">
        <v>1</v>
      </c>
      <c r="E1" s="47" t="s">
        <v>2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6" t="s">
        <v>3</v>
      </c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7"/>
      <c r="AE1" s="76" t="s">
        <v>4</v>
      </c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7"/>
      <c r="BA1" s="82" t="s">
        <v>5</v>
      </c>
      <c r="BB1" s="83"/>
      <c r="BC1" s="84"/>
      <c r="BD1" s="46" t="s">
        <v>6</v>
      </c>
      <c r="BE1" s="47"/>
      <c r="BF1" s="47"/>
      <c r="BG1" s="47"/>
      <c r="BH1" s="48"/>
      <c r="BI1" s="55" t="s">
        <v>7</v>
      </c>
      <c r="BJ1" s="56"/>
      <c r="BK1" s="57" t="s">
        <v>8</v>
      </c>
      <c r="BL1" s="58"/>
    </row>
    <row r="2" spans="1:88" ht="18.5" thickBot="1" x14ac:dyDescent="0.6">
      <c r="A2" s="64"/>
      <c r="B2" s="65"/>
      <c r="C2" s="66"/>
      <c r="D2" s="71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8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9"/>
      <c r="AE2" s="78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9"/>
      <c r="BA2" s="85"/>
      <c r="BB2" s="86"/>
      <c r="BC2" s="87"/>
      <c r="BD2" s="49"/>
      <c r="BE2" s="50"/>
      <c r="BF2" s="50"/>
      <c r="BG2" s="50"/>
      <c r="BH2" s="51"/>
      <c r="BI2" s="55"/>
      <c r="BJ2" s="56"/>
      <c r="BK2" s="59"/>
      <c r="BL2" s="60"/>
      <c r="CJ2" s="7" t="s">
        <v>9</v>
      </c>
    </row>
    <row r="3" spans="1:88" ht="33.75" customHeight="1" thickBot="1" x14ac:dyDescent="0.6">
      <c r="A3" s="67"/>
      <c r="B3" s="68"/>
      <c r="C3" s="69"/>
      <c r="D3" s="72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80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81"/>
      <c r="AE3" s="80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81"/>
      <c r="BA3" s="88"/>
      <c r="BB3" s="89"/>
      <c r="BC3" s="90"/>
      <c r="BD3" s="52"/>
      <c r="BE3" s="53"/>
      <c r="BF3" s="53"/>
      <c r="BG3" s="53"/>
      <c r="BH3" s="54"/>
      <c r="BI3" s="55"/>
      <c r="BJ3" s="56"/>
      <c r="BK3" s="24">
        <f>SUM(BK4:BK610)</f>
        <v>5</v>
      </c>
      <c r="BL3" s="25">
        <f>SUM(BL4:BL610)</f>
        <v>252</v>
      </c>
      <c r="BM3" s="13">
        <f>BK3/BL3</f>
        <v>1.984126984126984E-2</v>
      </c>
      <c r="CJ3" s="7" t="s">
        <v>10</v>
      </c>
    </row>
    <row r="4" spans="1:88" x14ac:dyDescent="0.55000000000000004">
      <c r="A4" s="1">
        <v>1</v>
      </c>
      <c r="B4" s="1"/>
      <c r="C4" s="1"/>
      <c r="D4" s="1"/>
      <c r="E4" t="s">
        <v>11</v>
      </c>
      <c r="P4" s="3"/>
      <c r="AD4" s="3"/>
      <c r="BA4" s="7"/>
      <c r="BC4" s="4"/>
      <c r="BH4" s="3"/>
      <c r="BI4" s="5"/>
      <c r="BJ4" s="3"/>
      <c r="BK4" s="12"/>
      <c r="BL4" s="12"/>
      <c r="BN4" t="s">
        <v>12</v>
      </c>
      <c r="CJ4" s="7" t="s">
        <v>13</v>
      </c>
    </row>
    <row r="5" spans="1:88" x14ac:dyDescent="0.55000000000000004">
      <c r="A5" s="2"/>
      <c r="B5" s="2">
        <v>1</v>
      </c>
      <c r="C5" s="2"/>
      <c r="D5" s="2"/>
      <c r="E5" t="s">
        <v>14</v>
      </c>
      <c r="P5" s="4"/>
      <c r="Q5" t="s">
        <v>15</v>
      </c>
      <c r="AD5" s="4"/>
      <c r="AE5" t="s">
        <v>16</v>
      </c>
      <c r="BA5" s="7"/>
      <c r="BH5" s="4"/>
      <c r="BI5" s="34"/>
      <c r="BJ5" s="35"/>
      <c r="BK5" s="2">
        <v>2</v>
      </c>
      <c r="BL5" s="2">
        <v>3</v>
      </c>
      <c r="BN5" t="s">
        <v>17</v>
      </c>
    </row>
    <row r="6" spans="1:88" x14ac:dyDescent="0.55000000000000004">
      <c r="A6" s="2"/>
      <c r="B6" s="2"/>
      <c r="C6" s="2"/>
      <c r="D6" s="2"/>
      <c r="P6" s="4"/>
      <c r="AD6" s="4"/>
      <c r="AE6" t="s">
        <v>18</v>
      </c>
      <c r="BA6" s="7"/>
      <c r="BC6" s="4"/>
      <c r="BH6" s="4"/>
      <c r="BI6" s="34"/>
      <c r="BJ6" s="35"/>
      <c r="BK6" s="2">
        <v>3</v>
      </c>
      <c r="BL6" s="2">
        <v>3</v>
      </c>
      <c r="BN6" t="s">
        <v>19</v>
      </c>
    </row>
    <row r="7" spans="1:88" x14ac:dyDescent="0.55000000000000004">
      <c r="A7" s="2"/>
      <c r="B7" s="2"/>
      <c r="C7" s="2"/>
      <c r="D7" s="2"/>
      <c r="P7" s="4"/>
      <c r="AD7" s="4"/>
      <c r="AE7" s="16" t="s">
        <v>20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7"/>
      <c r="BB7" s="16"/>
      <c r="BC7" s="18"/>
      <c r="BD7" s="16"/>
      <c r="BE7" s="16"/>
      <c r="BF7" s="16"/>
      <c r="BG7" s="16"/>
      <c r="BH7" s="18"/>
      <c r="BI7" s="38"/>
      <c r="BJ7" s="39"/>
      <c r="BK7" s="19"/>
      <c r="BL7" s="19">
        <v>3</v>
      </c>
    </row>
    <row r="8" spans="1:88" x14ac:dyDescent="0.55000000000000004">
      <c r="A8" s="2"/>
      <c r="B8" s="2"/>
      <c r="C8" s="2"/>
      <c r="D8" s="2"/>
      <c r="P8" s="4"/>
      <c r="AD8" s="4"/>
      <c r="BA8" s="7"/>
      <c r="BC8" s="4"/>
      <c r="BH8" s="4"/>
      <c r="BI8" s="34"/>
      <c r="BJ8" s="35"/>
      <c r="BK8" s="2"/>
      <c r="BL8" s="2"/>
    </row>
    <row r="9" spans="1:88" x14ac:dyDescent="0.55000000000000004">
      <c r="A9" s="2"/>
      <c r="B9" s="2">
        <v>2</v>
      </c>
      <c r="C9" s="2"/>
      <c r="D9" s="2"/>
      <c r="E9" t="s">
        <v>21</v>
      </c>
      <c r="P9" s="4"/>
      <c r="Q9" t="s">
        <v>22</v>
      </c>
      <c r="AD9" s="4"/>
      <c r="BA9" s="7"/>
      <c r="BC9" s="4"/>
      <c r="BH9" s="4"/>
      <c r="BI9" s="34"/>
      <c r="BJ9" s="35"/>
      <c r="BK9" s="2"/>
      <c r="BL9" s="2"/>
    </row>
    <row r="10" spans="1:88" x14ac:dyDescent="0.55000000000000004">
      <c r="A10" s="2"/>
      <c r="B10" s="2"/>
      <c r="C10" s="2"/>
      <c r="D10" s="2"/>
      <c r="P10" s="4"/>
      <c r="R10" t="s">
        <v>23</v>
      </c>
      <c r="AD10" s="4"/>
      <c r="AE10" t="s">
        <v>24</v>
      </c>
      <c r="BA10" s="7"/>
      <c r="BC10" s="4"/>
      <c r="BH10" s="4"/>
      <c r="BI10" s="34"/>
      <c r="BJ10" s="35"/>
      <c r="BK10" s="2"/>
      <c r="BL10" s="2">
        <v>3</v>
      </c>
    </row>
    <row r="11" spans="1:88" x14ac:dyDescent="0.55000000000000004">
      <c r="A11" s="2"/>
      <c r="B11" s="2"/>
      <c r="C11" s="2"/>
      <c r="D11" s="2"/>
      <c r="P11" s="4"/>
      <c r="R11" t="s">
        <v>25</v>
      </c>
      <c r="AD11" s="4"/>
      <c r="AE11" t="s">
        <v>26</v>
      </c>
      <c r="BA11" s="7"/>
      <c r="BC11" s="4"/>
      <c r="BH11" s="4"/>
      <c r="BI11" s="34"/>
      <c r="BJ11" s="35"/>
      <c r="BK11" s="2"/>
      <c r="BL11" s="2">
        <v>3</v>
      </c>
    </row>
    <row r="12" spans="1:88" x14ac:dyDescent="0.55000000000000004">
      <c r="A12" s="2"/>
      <c r="B12" s="2"/>
      <c r="C12" s="2"/>
      <c r="D12" s="2"/>
      <c r="P12" s="4"/>
      <c r="R12" t="s">
        <v>27</v>
      </c>
      <c r="AD12" s="4"/>
      <c r="AE12" t="s">
        <v>26</v>
      </c>
      <c r="BA12" s="7"/>
      <c r="BC12" s="4"/>
      <c r="BH12" s="4"/>
      <c r="BI12" s="34"/>
      <c r="BJ12" s="35"/>
      <c r="BK12" s="2"/>
      <c r="BL12" s="2">
        <v>3</v>
      </c>
    </row>
    <row r="13" spans="1:88" x14ac:dyDescent="0.55000000000000004">
      <c r="A13" s="2"/>
      <c r="B13" s="2"/>
      <c r="C13" s="2"/>
      <c r="D13" s="2"/>
      <c r="P13" s="4"/>
      <c r="R13" t="s">
        <v>28</v>
      </c>
      <c r="AD13" s="4"/>
      <c r="AE13" t="s">
        <v>24</v>
      </c>
      <c r="BA13" s="7"/>
      <c r="BC13" s="4"/>
      <c r="BH13" s="4"/>
      <c r="BI13" s="34"/>
      <c r="BJ13" s="35"/>
      <c r="BK13" s="2"/>
      <c r="BL13" s="2">
        <v>3</v>
      </c>
    </row>
    <row r="14" spans="1:88" x14ac:dyDescent="0.55000000000000004">
      <c r="A14" s="2"/>
      <c r="B14" s="2"/>
      <c r="C14" s="2"/>
      <c r="D14" s="2"/>
      <c r="P14" s="4"/>
      <c r="R14" t="s">
        <v>29</v>
      </c>
      <c r="AD14" s="4"/>
      <c r="AE14" t="s">
        <v>26</v>
      </c>
      <c r="BA14" s="7"/>
      <c r="BC14" s="4"/>
      <c r="BH14" s="4"/>
      <c r="BI14" s="34"/>
      <c r="BJ14" s="35"/>
      <c r="BK14" s="2"/>
      <c r="BL14" s="2">
        <v>3</v>
      </c>
    </row>
    <row r="15" spans="1:88" x14ac:dyDescent="0.55000000000000004">
      <c r="A15" s="2"/>
      <c r="B15" s="2"/>
      <c r="C15" s="2"/>
      <c r="D15" s="2"/>
      <c r="P15" s="4"/>
      <c r="R15" t="s">
        <v>30</v>
      </c>
      <c r="AD15" s="4"/>
      <c r="AE15" t="s">
        <v>26</v>
      </c>
      <c r="BA15" s="7"/>
      <c r="BC15" s="4"/>
      <c r="BH15" s="4"/>
      <c r="BI15" s="34"/>
      <c r="BJ15" s="35"/>
      <c r="BK15" s="2"/>
      <c r="BL15" s="2">
        <v>3</v>
      </c>
    </row>
    <row r="16" spans="1:88" x14ac:dyDescent="0.55000000000000004">
      <c r="A16" s="2"/>
      <c r="B16" s="2"/>
      <c r="C16" s="2"/>
      <c r="D16" s="2"/>
      <c r="P16" s="4"/>
      <c r="R16" t="s">
        <v>31</v>
      </c>
      <c r="AD16" s="4"/>
      <c r="AE16" t="s">
        <v>24</v>
      </c>
      <c r="BA16" s="7"/>
      <c r="BC16" s="4"/>
      <c r="BH16" s="4"/>
      <c r="BI16" s="34"/>
      <c r="BJ16" s="35"/>
      <c r="BK16" s="2"/>
      <c r="BL16" s="2">
        <v>3</v>
      </c>
    </row>
    <row r="17" spans="1:67" x14ac:dyDescent="0.55000000000000004">
      <c r="A17" s="2"/>
      <c r="B17" s="2"/>
      <c r="C17" s="2"/>
      <c r="D17" s="2"/>
      <c r="P17" s="4"/>
      <c r="R17" t="s">
        <v>32</v>
      </c>
      <c r="AD17" s="4"/>
      <c r="AE17" t="s">
        <v>26</v>
      </c>
      <c r="BA17" s="7"/>
      <c r="BC17" s="4"/>
      <c r="BH17" s="4"/>
      <c r="BI17" s="34"/>
      <c r="BJ17" s="35"/>
      <c r="BK17" s="2"/>
      <c r="BL17" s="2">
        <v>3</v>
      </c>
    </row>
    <row r="18" spans="1:67" x14ac:dyDescent="0.55000000000000004">
      <c r="A18" s="2"/>
      <c r="B18" s="2"/>
      <c r="C18" s="2"/>
      <c r="D18" s="2"/>
      <c r="P18" s="4"/>
      <c r="R18" t="s">
        <v>33</v>
      </c>
      <c r="AD18" s="4"/>
      <c r="AE18" t="s">
        <v>26</v>
      </c>
      <c r="BA18" s="7"/>
      <c r="BC18" s="4"/>
      <c r="BH18" s="4"/>
      <c r="BI18" s="34"/>
      <c r="BJ18" s="35"/>
      <c r="BK18" s="2"/>
      <c r="BL18" s="2">
        <v>3</v>
      </c>
    </row>
    <row r="19" spans="1:67" x14ac:dyDescent="0.55000000000000004">
      <c r="A19" s="2"/>
      <c r="B19" s="2"/>
      <c r="C19" s="2"/>
      <c r="D19" s="2"/>
      <c r="P19" s="4"/>
      <c r="R19" s="14" t="s">
        <v>34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5"/>
      <c r="AE19" s="14" t="s">
        <v>24</v>
      </c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BA19" s="7"/>
      <c r="BC19" s="4"/>
      <c r="BH19" s="4"/>
      <c r="BI19" s="34"/>
      <c r="BJ19" s="35"/>
      <c r="BK19" s="2"/>
      <c r="BL19" s="2">
        <v>3</v>
      </c>
    </row>
    <row r="20" spans="1:67" x14ac:dyDescent="0.55000000000000004">
      <c r="A20" s="2"/>
      <c r="B20" s="2"/>
      <c r="C20" s="2"/>
      <c r="D20" s="2"/>
      <c r="P20" s="4"/>
      <c r="R20" s="14" t="s">
        <v>35</v>
      </c>
      <c r="S20" s="14"/>
      <c r="T20" s="14"/>
      <c r="U20" s="14"/>
      <c r="V20" s="14" t="s">
        <v>36</v>
      </c>
      <c r="W20" s="14"/>
      <c r="X20" s="14"/>
      <c r="Y20" s="14"/>
      <c r="Z20" s="14"/>
      <c r="AA20" s="14"/>
      <c r="AB20" s="14"/>
      <c r="AC20" s="14"/>
      <c r="AD20" s="15"/>
      <c r="AE20" s="14" t="s">
        <v>26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BA20" s="7"/>
      <c r="BC20" s="4"/>
      <c r="BH20" s="4"/>
      <c r="BI20" s="34"/>
      <c r="BJ20" s="35"/>
      <c r="BK20" s="2"/>
      <c r="BL20" s="2">
        <v>3</v>
      </c>
    </row>
    <row r="21" spans="1:67" x14ac:dyDescent="0.55000000000000004">
      <c r="A21" s="2"/>
      <c r="B21" s="2"/>
      <c r="C21" s="2"/>
      <c r="D21" s="2"/>
      <c r="P21" s="4"/>
      <c r="R21" s="14" t="s">
        <v>37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5"/>
      <c r="AE21" s="14" t="s">
        <v>26</v>
      </c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BA21" s="7"/>
      <c r="BC21" s="4"/>
      <c r="BH21" s="4"/>
      <c r="BI21" s="34"/>
      <c r="BJ21" s="35"/>
      <c r="BK21" s="2"/>
      <c r="BL21" s="2">
        <v>3</v>
      </c>
    </row>
    <row r="22" spans="1:67" x14ac:dyDescent="0.55000000000000004">
      <c r="A22" s="2"/>
      <c r="C22" s="2"/>
      <c r="D22" s="2"/>
      <c r="P22" s="4"/>
      <c r="AD22" s="4"/>
      <c r="BA22" s="7"/>
      <c r="BC22" s="4"/>
      <c r="BH22" s="4"/>
      <c r="BI22" s="34"/>
      <c r="BJ22" s="35"/>
      <c r="BK22" s="2"/>
      <c r="BL22" s="2"/>
    </row>
    <row r="23" spans="1:67" x14ac:dyDescent="0.55000000000000004">
      <c r="A23" s="2"/>
      <c r="B23" s="2">
        <v>3</v>
      </c>
      <c r="C23" s="2"/>
      <c r="D23" s="2">
        <v>1</v>
      </c>
      <c r="E23" t="s">
        <v>38</v>
      </c>
      <c r="P23" s="4"/>
      <c r="Q23" s="16" t="s">
        <v>39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8"/>
      <c r="AE23" s="16" t="s">
        <v>40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7"/>
      <c r="BB23" s="16"/>
      <c r="BC23" s="18"/>
      <c r="BD23" s="16"/>
      <c r="BE23" s="16"/>
      <c r="BF23" s="16"/>
      <c r="BG23" s="16"/>
      <c r="BH23" s="18"/>
      <c r="BI23" s="38"/>
      <c r="BJ23" s="39"/>
      <c r="BK23" s="19"/>
      <c r="BL23" s="19">
        <v>3</v>
      </c>
      <c r="BM23" s="16"/>
      <c r="BN23" s="16"/>
      <c r="BO23" s="16"/>
    </row>
    <row r="24" spans="1:67" x14ac:dyDescent="0.55000000000000004">
      <c r="A24" s="2"/>
      <c r="B24" s="2"/>
      <c r="C24" s="2"/>
      <c r="D24" s="2"/>
      <c r="P24" s="4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8"/>
      <c r="AE24" s="16"/>
      <c r="AF24" s="16" t="s">
        <v>41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7"/>
      <c r="BB24" s="16"/>
      <c r="BC24" s="18"/>
      <c r="BD24" s="16"/>
      <c r="BE24" s="16"/>
      <c r="BF24" s="16"/>
      <c r="BG24" s="16"/>
      <c r="BH24" s="18"/>
      <c r="BI24" s="38"/>
      <c r="BJ24" s="39"/>
      <c r="BK24" s="19"/>
      <c r="BL24" s="19">
        <v>3</v>
      </c>
      <c r="BM24" s="16"/>
      <c r="BN24" s="16"/>
      <c r="BO24" s="16"/>
    </row>
    <row r="25" spans="1:67" x14ac:dyDescent="0.55000000000000004">
      <c r="A25" s="2"/>
      <c r="B25" s="2"/>
      <c r="C25" s="2"/>
      <c r="D25" s="2">
        <v>2</v>
      </c>
      <c r="P25" s="4"/>
      <c r="Q25" s="16" t="s">
        <v>42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8"/>
      <c r="AE25" s="16" t="s">
        <v>40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7"/>
      <c r="BB25" s="16"/>
      <c r="BC25" s="18"/>
      <c r="BD25" s="16"/>
      <c r="BE25" s="16"/>
      <c r="BF25" s="16"/>
      <c r="BG25" s="16"/>
      <c r="BH25" s="18"/>
      <c r="BI25" s="38"/>
      <c r="BJ25" s="39"/>
      <c r="BK25" s="19"/>
      <c r="BL25" s="19">
        <v>3</v>
      </c>
      <c r="BM25" s="16"/>
      <c r="BN25" s="16"/>
      <c r="BO25" s="16"/>
    </row>
    <row r="26" spans="1:67" x14ac:dyDescent="0.55000000000000004">
      <c r="A26" s="2"/>
      <c r="B26" s="2"/>
      <c r="C26" s="2"/>
      <c r="D26" s="2"/>
      <c r="P26" s="4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8"/>
      <c r="AE26" s="16"/>
      <c r="AF26" s="16" t="s">
        <v>41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7"/>
      <c r="BB26" s="16"/>
      <c r="BC26" s="18"/>
      <c r="BD26" s="16"/>
      <c r="BE26" s="16"/>
      <c r="BF26" s="16"/>
      <c r="BG26" s="16"/>
      <c r="BH26" s="18"/>
      <c r="BI26" s="38"/>
      <c r="BJ26" s="39"/>
      <c r="BK26" s="19"/>
      <c r="BL26" s="19">
        <v>3</v>
      </c>
      <c r="BM26" s="16"/>
      <c r="BN26" s="16"/>
      <c r="BO26" s="16"/>
    </row>
    <row r="27" spans="1:67" x14ac:dyDescent="0.55000000000000004">
      <c r="A27" s="2"/>
      <c r="B27" s="2"/>
      <c r="C27" s="2"/>
      <c r="D27" s="2"/>
      <c r="P27" s="4"/>
      <c r="AD27" s="4"/>
      <c r="BA27" s="7"/>
      <c r="BC27" s="4"/>
      <c r="BH27" s="4"/>
      <c r="BI27" s="34"/>
      <c r="BJ27" s="35"/>
      <c r="BK27" s="2"/>
      <c r="BL27" s="2"/>
    </row>
    <row r="28" spans="1:67" x14ac:dyDescent="0.55000000000000004">
      <c r="A28" s="2"/>
      <c r="B28" s="2">
        <v>4</v>
      </c>
      <c r="C28" s="2"/>
      <c r="D28" s="2"/>
      <c r="E28" t="s">
        <v>43</v>
      </c>
      <c r="P28" s="4"/>
      <c r="Q28" t="s">
        <v>44</v>
      </c>
      <c r="AD28" s="4"/>
      <c r="AE28" t="s">
        <v>45</v>
      </c>
      <c r="BA28" s="7"/>
      <c r="BC28" s="4"/>
      <c r="BH28" s="4"/>
      <c r="BI28" s="34"/>
      <c r="BJ28" s="35"/>
      <c r="BK28" s="2"/>
      <c r="BL28" s="2">
        <v>3</v>
      </c>
    </row>
    <row r="29" spans="1:67" x14ac:dyDescent="0.55000000000000004">
      <c r="A29" s="2"/>
      <c r="B29" s="2">
        <v>5</v>
      </c>
      <c r="C29" s="2"/>
      <c r="D29" s="2"/>
      <c r="E29" t="s">
        <v>46</v>
      </c>
      <c r="P29" s="4"/>
      <c r="Q29" t="s">
        <v>47</v>
      </c>
      <c r="AD29" s="4"/>
      <c r="AE29" t="s">
        <v>48</v>
      </c>
      <c r="BA29" s="7"/>
      <c r="BC29" s="4"/>
      <c r="BH29" s="4"/>
      <c r="BI29" s="34"/>
      <c r="BJ29" s="35"/>
      <c r="BK29" s="2"/>
      <c r="BL29" s="2">
        <v>3</v>
      </c>
    </row>
    <row r="30" spans="1:67" x14ac:dyDescent="0.55000000000000004">
      <c r="A30" s="2"/>
      <c r="C30" s="2"/>
      <c r="D30" s="2"/>
      <c r="P30" s="4"/>
      <c r="AD30" s="4"/>
      <c r="BA30" s="7"/>
      <c r="BC30" s="4"/>
      <c r="BH30" s="4"/>
      <c r="BI30" s="36"/>
      <c r="BJ30" s="37"/>
      <c r="BK30" s="8"/>
      <c r="BL30" s="8"/>
    </row>
    <row r="31" spans="1:67" x14ac:dyDescent="0.55000000000000004">
      <c r="A31" s="1">
        <v>2</v>
      </c>
      <c r="B31" s="1"/>
      <c r="C31" s="1"/>
      <c r="D31" s="1"/>
      <c r="E31" s="6" t="s">
        <v>49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3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3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5"/>
      <c r="BB31" s="6"/>
      <c r="BC31" s="3"/>
      <c r="BD31" s="6"/>
      <c r="BE31" s="6"/>
      <c r="BF31" s="6"/>
      <c r="BG31" s="6"/>
      <c r="BH31" s="3"/>
      <c r="BI31" s="34"/>
      <c r="BJ31" s="35"/>
      <c r="BK31" s="2"/>
      <c r="BL31" s="2"/>
    </row>
    <row r="32" spans="1:67" x14ac:dyDescent="0.55000000000000004">
      <c r="A32" s="2"/>
      <c r="B32" s="2">
        <v>1</v>
      </c>
      <c r="C32" s="2"/>
      <c r="D32" s="2"/>
      <c r="E32" t="s">
        <v>50</v>
      </c>
      <c r="P32" s="4"/>
      <c r="Q32" t="s">
        <v>51</v>
      </c>
      <c r="AD32" s="4"/>
      <c r="AE32" t="s">
        <v>52</v>
      </c>
      <c r="BA32" s="7"/>
      <c r="BC32" s="4"/>
      <c r="BH32" s="4"/>
      <c r="BI32" s="34"/>
      <c r="BJ32" s="35"/>
      <c r="BK32" s="2"/>
      <c r="BL32" s="2">
        <v>3</v>
      </c>
    </row>
    <row r="33" spans="1:65" x14ac:dyDescent="0.55000000000000004">
      <c r="A33" s="2"/>
      <c r="B33" s="2"/>
      <c r="C33" s="2"/>
      <c r="D33" s="2"/>
      <c r="P33" s="4"/>
      <c r="AD33" s="4"/>
      <c r="AE33" t="s">
        <v>53</v>
      </c>
      <c r="BA33" s="7"/>
      <c r="BC33" s="4"/>
      <c r="BH33" s="4"/>
      <c r="BI33" s="34"/>
      <c r="BJ33" s="35"/>
      <c r="BK33" s="2"/>
      <c r="BL33" s="2">
        <v>3</v>
      </c>
    </row>
    <row r="34" spans="1:65" x14ac:dyDescent="0.55000000000000004">
      <c r="A34" s="2"/>
      <c r="B34" s="2"/>
      <c r="C34" s="2"/>
      <c r="D34" s="2"/>
      <c r="P34" s="4"/>
      <c r="Q34" t="s">
        <v>54</v>
      </c>
      <c r="AD34" s="4"/>
      <c r="AE34" t="s">
        <v>52</v>
      </c>
      <c r="BA34" s="7"/>
      <c r="BC34" s="4"/>
      <c r="BH34" s="4"/>
      <c r="BI34" s="34"/>
      <c r="BJ34" s="35"/>
      <c r="BK34" s="2"/>
      <c r="BL34" s="2">
        <v>3</v>
      </c>
    </row>
    <row r="35" spans="1:65" x14ac:dyDescent="0.55000000000000004">
      <c r="A35" s="2"/>
      <c r="B35" s="2"/>
      <c r="C35" s="2"/>
      <c r="D35" s="2"/>
      <c r="P35" s="4"/>
      <c r="AD35" s="4"/>
      <c r="AE35" t="s">
        <v>55</v>
      </c>
      <c r="BA35" s="7"/>
      <c r="BC35" s="4"/>
      <c r="BH35" s="4"/>
      <c r="BI35" s="34"/>
      <c r="BJ35" s="35"/>
      <c r="BK35" s="2"/>
      <c r="BL35" s="2">
        <v>3</v>
      </c>
    </row>
    <row r="36" spans="1:65" x14ac:dyDescent="0.55000000000000004">
      <c r="A36" s="2"/>
      <c r="B36" s="2"/>
      <c r="C36" s="2"/>
      <c r="D36" s="2"/>
      <c r="P36" s="4"/>
      <c r="AD36" s="4"/>
      <c r="BA36" s="7"/>
      <c r="BC36" s="4"/>
      <c r="BH36" s="4"/>
      <c r="BI36" s="34"/>
      <c r="BJ36" s="35"/>
      <c r="BK36" s="2"/>
      <c r="BL36" s="2"/>
    </row>
    <row r="37" spans="1:65" x14ac:dyDescent="0.55000000000000004">
      <c r="A37" s="2"/>
      <c r="B37" s="2">
        <v>2</v>
      </c>
      <c r="C37" s="2"/>
      <c r="D37" s="2">
        <v>1</v>
      </c>
      <c r="E37" t="s">
        <v>56</v>
      </c>
      <c r="P37" s="4"/>
      <c r="Q37" t="s">
        <v>57</v>
      </c>
      <c r="AD37" s="4"/>
      <c r="AE37" t="s">
        <v>58</v>
      </c>
      <c r="BA37" s="7"/>
      <c r="BC37" s="4"/>
      <c r="BH37" s="4"/>
      <c r="BI37" s="34"/>
      <c r="BJ37" s="35"/>
      <c r="BK37" s="2"/>
      <c r="BL37" s="2">
        <v>3</v>
      </c>
    </row>
    <row r="38" spans="1:65" x14ac:dyDescent="0.55000000000000004">
      <c r="A38" s="2"/>
      <c r="B38" s="2"/>
      <c r="C38" s="2"/>
      <c r="D38" s="2"/>
      <c r="P38" s="4"/>
      <c r="AD38" s="4"/>
      <c r="AE38" t="s">
        <v>59</v>
      </c>
      <c r="BA38" s="7"/>
      <c r="BC38" s="4"/>
      <c r="BH38" s="4"/>
      <c r="BI38" s="34"/>
      <c r="BJ38" s="35"/>
      <c r="BK38" s="2"/>
      <c r="BL38" s="2">
        <v>3</v>
      </c>
    </row>
    <row r="39" spans="1:65" x14ac:dyDescent="0.55000000000000004">
      <c r="A39" s="2"/>
      <c r="B39" s="2"/>
      <c r="C39" s="2"/>
      <c r="D39" s="2">
        <v>2</v>
      </c>
      <c r="P39" s="4"/>
      <c r="Q39" t="s">
        <v>60</v>
      </c>
      <c r="AD39" s="4"/>
      <c r="BA39" s="7"/>
      <c r="BC39" s="4"/>
      <c r="BH39" s="4"/>
      <c r="BI39" s="34"/>
      <c r="BJ39" s="35"/>
      <c r="BK39" s="2"/>
      <c r="BL39" s="2"/>
    </row>
    <row r="40" spans="1:65" x14ac:dyDescent="0.55000000000000004">
      <c r="A40" s="2"/>
      <c r="B40" s="2"/>
      <c r="C40" s="2"/>
      <c r="D40" s="2"/>
      <c r="P40" s="4"/>
      <c r="R40" t="s">
        <v>61</v>
      </c>
      <c r="AD40" s="4"/>
      <c r="AE40" t="s">
        <v>62</v>
      </c>
      <c r="BA40" s="7"/>
      <c r="BC40" s="4"/>
      <c r="BH40" s="4"/>
      <c r="BI40" s="34"/>
      <c r="BJ40" s="35"/>
      <c r="BK40" s="2"/>
      <c r="BL40" s="2">
        <v>3</v>
      </c>
    </row>
    <row r="41" spans="1:65" x14ac:dyDescent="0.55000000000000004">
      <c r="A41" s="2"/>
      <c r="B41" s="2"/>
      <c r="C41" s="2"/>
      <c r="D41" s="2"/>
      <c r="P41" s="4"/>
      <c r="R41" t="s">
        <v>63</v>
      </c>
      <c r="AD41" s="4"/>
      <c r="AE41" t="s">
        <v>64</v>
      </c>
      <c r="BA41" s="7"/>
      <c r="BC41" s="4"/>
      <c r="BH41" s="4"/>
      <c r="BI41" s="34"/>
      <c r="BJ41" s="35"/>
      <c r="BK41" s="2"/>
      <c r="BL41" s="2">
        <v>3</v>
      </c>
    </row>
    <row r="42" spans="1:65" x14ac:dyDescent="0.55000000000000004">
      <c r="A42" s="2"/>
      <c r="B42" s="2"/>
      <c r="C42" s="2"/>
      <c r="D42" s="2"/>
      <c r="P42" s="4"/>
      <c r="AD42" s="4"/>
      <c r="BA42" s="7"/>
      <c r="BC42" s="4"/>
      <c r="BH42" s="4"/>
      <c r="BI42" s="34"/>
      <c r="BJ42" s="35"/>
      <c r="BK42" s="2"/>
      <c r="BL42" s="2"/>
    </row>
    <row r="43" spans="1:65" x14ac:dyDescent="0.55000000000000004">
      <c r="A43" s="2"/>
      <c r="B43" s="2">
        <v>3</v>
      </c>
      <c r="C43" s="2"/>
      <c r="D43" s="2"/>
      <c r="E43" t="s">
        <v>21</v>
      </c>
      <c r="P43" s="4"/>
      <c r="Q43" t="s">
        <v>65</v>
      </c>
      <c r="AD43" s="4"/>
      <c r="BA43" s="7"/>
      <c r="BC43" s="4"/>
      <c r="BH43" s="4"/>
      <c r="BI43" s="34"/>
      <c r="BJ43" s="35"/>
      <c r="BK43" s="2"/>
      <c r="BL43" s="2"/>
    </row>
    <row r="44" spans="1:65" x14ac:dyDescent="0.55000000000000004">
      <c r="A44" s="2"/>
      <c r="B44" s="2"/>
      <c r="C44" s="2"/>
      <c r="D44" s="2"/>
      <c r="P44" s="4"/>
      <c r="R44" t="s">
        <v>66</v>
      </c>
      <c r="AD44" s="4"/>
      <c r="AE44" t="s">
        <v>67</v>
      </c>
      <c r="BA44" s="7"/>
      <c r="BC44" s="4"/>
      <c r="BH44" s="4"/>
      <c r="BI44" s="34"/>
      <c r="BJ44" s="35"/>
      <c r="BL44" s="2">
        <v>3</v>
      </c>
    </row>
    <row r="45" spans="1:65" x14ac:dyDescent="0.55000000000000004">
      <c r="A45" s="2"/>
      <c r="B45" s="2"/>
      <c r="C45" s="2"/>
      <c r="D45" s="2"/>
      <c r="P45" s="4"/>
      <c r="Q45" s="20"/>
      <c r="R45" s="20" t="s">
        <v>68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1"/>
      <c r="AE45" s="20" t="s">
        <v>69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2"/>
      <c r="BB45" s="20"/>
      <c r="BC45" s="21"/>
      <c r="BD45" s="20"/>
      <c r="BE45" s="20"/>
      <c r="BF45" s="20"/>
      <c r="BG45" s="20"/>
      <c r="BH45" s="21"/>
      <c r="BI45" s="44"/>
      <c r="BJ45" s="45"/>
      <c r="BK45" s="2"/>
      <c r="BL45" s="23">
        <v>3</v>
      </c>
      <c r="BM45" s="20"/>
    </row>
    <row r="46" spans="1:65" x14ac:dyDescent="0.55000000000000004">
      <c r="A46" s="2"/>
      <c r="B46" s="2"/>
      <c r="C46" s="2"/>
      <c r="D46" s="2"/>
      <c r="P46" s="4"/>
      <c r="AD46" s="4"/>
      <c r="BA46" s="7"/>
      <c r="BC46" s="4"/>
      <c r="BH46" s="4"/>
      <c r="BI46" s="34"/>
      <c r="BJ46" s="35"/>
      <c r="BK46" s="2"/>
      <c r="BL46" s="2"/>
    </row>
    <row r="47" spans="1:65" x14ac:dyDescent="0.55000000000000004">
      <c r="A47" s="2"/>
      <c r="B47" s="2">
        <v>4</v>
      </c>
      <c r="C47" s="2"/>
      <c r="D47" s="2"/>
      <c r="E47" t="s">
        <v>70</v>
      </c>
      <c r="P47" s="4"/>
      <c r="Q47" t="s">
        <v>71</v>
      </c>
      <c r="AD47" s="4"/>
      <c r="AE47" t="s">
        <v>72</v>
      </c>
      <c r="BA47" s="7"/>
      <c r="BC47" s="4"/>
      <c r="BH47" s="4"/>
      <c r="BI47" s="34"/>
      <c r="BJ47" s="35"/>
      <c r="BK47" s="2"/>
      <c r="BL47" s="2">
        <v>3</v>
      </c>
    </row>
    <row r="48" spans="1:65" x14ac:dyDescent="0.55000000000000004">
      <c r="A48" s="2"/>
      <c r="B48" s="2"/>
      <c r="C48" s="2"/>
      <c r="D48" s="2"/>
      <c r="P48" s="4"/>
      <c r="AD48" s="4"/>
      <c r="AE48" t="s">
        <v>73</v>
      </c>
      <c r="BA48" s="7"/>
      <c r="BC48" s="4"/>
      <c r="BH48" s="4"/>
      <c r="BI48" s="34"/>
      <c r="BJ48" s="35"/>
      <c r="BK48" s="2"/>
      <c r="BL48" s="2">
        <v>3</v>
      </c>
    </row>
    <row r="49" spans="1:66" x14ac:dyDescent="0.55000000000000004">
      <c r="A49" s="2"/>
      <c r="B49" s="2"/>
      <c r="C49" s="2"/>
      <c r="D49" s="2"/>
      <c r="P49" s="4"/>
      <c r="AD49" s="4"/>
      <c r="AE49" t="s">
        <v>74</v>
      </c>
      <c r="BA49" s="7"/>
      <c r="BC49" s="4"/>
      <c r="BH49" s="4"/>
      <c r="BI49" s="34"/>
      <c r="BJ49" s="35"/>
      <c r="BK49" s="2"/>
      <c r="BL49" s="2">
        <v>3</v>
      </c>
    </row>
    <row r="50" spans="1:66" x14ac:dyDescent="0.55000000000000004">
      <c r="A50" s="2"/>
      <c r="B50" s="2"/>
      <c r="C50" s="2"/>
      <c r="D50" s="2"/>
      <c r="P50" s="4"/>
      <c r="AD50" s="4"/>
      <c r="BA50" s="7"/>
      <c r="BC50" s="4"/>
      <c r="BH50" s="4"/>
      <c r="BI50" s="34"/>
      <c r="BJ50" s="35"/>
      <c r="BK50" s="2"/>
      <c r="BL50" s="2"/>
    </row>
    <row r="51" spans="1:66" x14ac:dyDescent="0.55000000000000004">
      <c r="A51" s="2"/>
      <c r="B51" s="2">
        <v>5</v>
      </c>
      <c r="C51" s="2"/>
      <c r="D51" s="2"/>
      <c r="E51" t="s">
        <v>75</v>
      </c>
      <c r="P51" s="4"/>
      <c r="Q51" t="s">
        <v>47</v>
      </c>
      <c r="AD51" s="4"/>
      <c r="AE51" t="s">
        <v>72</v>
      </c>
      <c r="BA51" s="7"/>
      <c r="BC51" s="4"/>
      <c r="BH51" s="4"/>
      <c r="BI51" s="34"/>
      <c r="BJ51" s="35"/>
      <c r="BK51" s="2"/>
      <c r="BL51" s="2">
        <v>3</v>
      </c>
    </row>
    <row r="52" spans="1:66" x14ac:dyDescent="0.55000000000000004">
      <c r="A52" s="2"/>
      <c r="B52" s="2"/>
      <c r="C52" s="2"/>
      <c r="D52" s="2"/>
      <c r="P52" s="4"/>
      <c r="AD52" s="4"/>
      <c r="AE52" t="s">
        <v>73</v>
      </c>
      <c r="BA52" s="7"/>
      <c r="BC52" s="4"/>
      <c r="BH52" s="4"/>
      <c r="BI52" s="34"/>
      <c r="BJ52" s="35"/>
      <c r="BK52" s="2"/>
      <c r="BL52" s="2">
        <v>3</v>
      </c>
    </row>
    <row r="53" spans="1:66" x14ac:dyDescent="0.55000000000000004">
      <c r="A53" s="2"/>
      <c r="B53" s="2"/>
      <c r="C53" s="2"/>
      <c r="D53" s="2"/>
      <c r="P53" s="4"/>
      <c r="AD53" s="4"/>
      <c r="AE53" t="s">
        <v>74</v>
      </c>
      <c r="BA53" s="7"/>
      <c r="BC53" s="4"/>
      <c r="BH53" s="4"/>
      <c r="BI53" s="34"/>
      <c r="BJ53" s="35"/>
      <c r="BK53" s="2"/>
      <c r="BL53" s="2">
        <v>3</v>
      </c>
    </row>
    <row r="54" spans="1:66" x14ac:dyDescent="0.55000000000000004">
      <c r="A54" s="2"/>
      <c r="B54" s="2"/>
      <c r="C54" s="2"/>
      <c r="D54" s="2"/>
      <c r="P54" s="4"/>
      <c r="AD54" s="4"/>
      <c r="BA54" s="7"/>
      <c r="BC54" s="4"/>
      <c r="BH54" s="4"/>
      <c r="BI54" s="34"/>
      <c r="BJ54" s="35"/>
      <c r="BK54" s="2"/>
      <c r="BL54" s="2"/>
    </row>
    <row r="55" spans="1:66" x14ac:dyDescent="0.55000000000000004">
      <c r="A55" s="2"/>
      <c r="B55" s="2">
        <v>6</v>
      </c>
      <c r="C55" s="27"/>
      <c r="D55" s="27"/>
      <c r="E55" s="28" t="s">
        <v>43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9"/>
      <c r="Q55" s="28" t="s">
        <v>76</v>
      </c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9"/>
      <c r="AE55" s="28" t="s">
        <v>77</v>
      </c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30"/>
      <c r="BB55" s="28"/>
      <c r="BC55" s="29"/>
      <c r="BD55" s="28"/>
      <c r="BE55" s="28"/>
      <c r="BF55" s="28"/>
      <c r="BG55" s="28"/>
      <c r="BH55" s="29"/>
      <c r="BI55" s="40"/>
      <c r="BJ55" s="41"/>
      <c r="BK55" s="27"/>
      <c r="BL55" s="27">
        <v>3</v>
      </c>
      <c r="BM55" s="28"/>
      <c r="BN55" s="28"/>
    </row>
    <row r="56" spans="1:66" x14ac:dyDescent="0.55000000000000004">
      <c r="A56" s="2"/>
      <c r="B56" s="2"/>
      <c r="C56" s="27"/>
      <c r="D56" s="27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9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9"/>
      <c r="AE56" s="28" t="s">
        <v>78</v>
      </c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30"/>
      <c r="BB56" s="28"/>
      <c r="BC56" s="29"/>
      <c r="BD56" s="28"/>
      <c r="BE56" s="28"/>
      <c r="BF56" s="28"/>
      <c r="BG56" s="28"/>
      <c r="BH56" s="29"/>
      <c r="BI56" s="40"/>
      <c r="BJ56" s="41"/>
      <c r="BK56" s="27"/>
      <c r="BL56" s="27">
        <v>3</v>
      </c>
      <c r="BM56" s="28"/>
      <c r="BN56" s="28"/>
    </row>
    <row r="57" spans="1:66" x14ac:dyDescent="0.55000000000000004">
      <c r="A57" s="2"/>
      <c r="B57" s="2"/>
      <c r="C57" s="27"/>
      <c r="D57" s="27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9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9"/>
      <c r="AE57" s="28" t="s">
        <v>79</v>
      </c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30"/>
      <c r="BB57" s="28"/>
      <c r="BC57" s="29"/>
      <c r="BD57" s="28"/>
      <c r="BE57" s="28"/>
      <c r="BF57" s="28"/>
      <c r="BG57" s="28"/>
      <c r="BH57" s="29"/>
      <c r="BI57" s="42"/>
      <c r="BJ57" s="43"/>
      <c r="BK57" s="31"/>
      <c r="BL57" s="31">
        <v>3</v>
      </c>
      <c r="BM57" s="28"/>
      <c r="BN57" s="28"/>
    </row>
    <row r="58" spans="1:66" x14ac:dyDescent="0.55000000000000004">
      <c r="A58" s="2"/>
      <c r="B58" s="2"/>
      <c r="C58" s="27"/>
      <c r="D58" s="27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9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9"/>
      <c r="AE58" s="28" t="s">
        <v>80</v>
      </c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30"/>
      <c r="BB58" s="28"/>
      <c r="BC58" s="29"/>
      <c r="BD58" s="28"/>
      <c r="BE58" s="28"/>
      <c r="BF58" s="28"/>
      <c r="BG58" s="28"/>
      <c r="BH58" s="29"/>
      <c r="BI58" s="40"/>
      <c r="BJ58" s="41"/>
      <c r="BK58" s="27"/>
      <c r="BL58" s="27">
        <v>3</v>
      </c>
      <c r="BM58" s="28"/>
      <c r="BN58" s="28"/>
    </row>
    <row r="59" spans="1:66" x14ac:dyDescent="0.55000000000000004">
      <c r="A59" s="2"/>
      <c r="B59" s="2"/>
      <c r="C59" s="27"/>
      <c r="D59" s="27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9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9"/>
      <c r="AE59" s="28" t="s">
        <v>81</v>
      </c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30"/>
      <c r="BB59" s="28"/>
      <c r="BC59" s="29"/>
      <c r="BD59" s="28"/>
      <c r="BE59" s="28"/>
      <c r="BF59" s="28"/>
      <c r="BG59" s="28"/>
      <c r="BH59" s="29"/>
      <c r="BI59" s="40"/>
      <c r="BJ59" s="41"/>
      <c r="BK59" s="27"/>
      <c r="BL59" s="27">
        <v>3</v>
      </c>
      <c r="BM59" s="28"/>
      <c r="BN59" s="28"/>
    </row>
    <row r="60" spans="1:66" x14ac:dyDescent="0.55000000000000004">
      <c r="A60" s="2"/>
      <c r="B60" s="2"/>
      <c r="C60" s="27"/>
      <c r="D60" s="2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9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9"/>
      <c r="AE60" s="28" t="s">
        <v>82</v>
      </c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30"/>
      <c r="BB60" s="28"/>
      <c r="BC60" s="29"/>
      <c r="BD60" s="28"/>
      <c r="BE60" s="28"/>
      <c r="BF60" s="28"/>
      <c r="BG60" s="28"/>
      <c r="BH60" s="29"/>
      <c r="BI60" s="40"/>
      <c r="BJ60" s="41"/>
      <c r="BK60" s="27"/>
      <c r="BL60" s="27">
        <v>3</v>
      </c>
      <c r="BM60" s="28"/>
      <c r="BN60" s="28"/>
    </row>
    <row r="61" spans="1:66" x14ac:dyDescent="0.55000000000000004">
      <c r="A61" s="2"/>
      <c r="B61" s="2"/>
      <c r="C61" s="27"/>
      <c r="D61" s="2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9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9"/>
      <c r="AE61" s="28" t="s">
        <v>83</v>
      </c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30"/>
      <c r="BB61" s="28"/>
      <c r="BC61" s="29"/>
      <c r="BD61" s="28"/>
      <c r="BE61" s="28"/>
      <c r="BF61" s="28"/>
      <c r="BG61" s="28"/>
      <c r="BH61" s="29"/>
      <c r="BI61" s="40"/>
      <c r="BJ61" s="41"/>
      <c r="BK61" s="27"/>
      <c r="BL61" s="27">
        <v>3</v>
      </c>
      <c r="BM61" s="28"/>
      <c r="BN61" s="28"/>
    </row>
    <row r="62" spans="1:66" x14ac:dyDescent="0.55000000000000004">
      <c r="A62" s="2"/>
      <c r="B62" s="2"/>
      <c r="C62" s="27"/>
      <c r="D62" s="27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9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9"/>
      <c r="AE62" s="28" t="s">
        <v>84</v>
      </c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30"/>
      <c r="BB62" s="28"/>
      <c r="BC62" s="29"/>
      <c r="BD62" s="28"/>
      <c r="BE62" s="28"/>
      <c r="BF62" s="28"/>
      <c r="BG62" s="28"/>
      <c r="BH62" s="29"/>
      <c r="BI62" s="40"/>
      <c r="BJ62" s="41"/>
      <c r="BK62" s="27"/>
      <c r="BL62" s="27">
        <v>3</v>
      </c>
      <c r="BM62" s="28"/>
      <c r="BN62" s="28"/>
    </row>
    <row r="63" spans="1:66" x14ac:dyDescent="0.55000000000000004">
      <c r="A63" s="2"/>
      <c r="B63" s="2"/>
      <c r="C63" s="27"/>
      <c r="D63" s="27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9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9"/>
      <c r="AE63" s="28" t="s">
        <v>85</v>
      </c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30"/>
      <c r="BB63" s="28"/>
      <c r="BC63" s="29"/>
      <c r="BD63" s="28"/>
      <c r="BE63" s="28"/>
      <c r="BF63" s="28"/>
      <c r="BG63" s="28"/>
      <c r="BH63" s="29"/>
      <c r="BI63" s="40"/>
      <c r="BJ63" s="41"/>
      <c r="BK63" s="27"/>
      <c r="BL63" s="27">
        <v>3</v>
      </c>
      <c r="BM63" s="28"/>
      <c r="BN63" s="28"/>
    </row>
    <row r="64" spans="1:66" x14ac:dyDescent="0.55000000000000004">
      <c r="A64" s="2"/>
      <c r="B64" s="2"/>
      <c r="C64" s="2"/>
      <c r="D64" s="2"/>
      <c r="P64" s="4"/>
      <c r="AD64" s="4"/>
      <c r="BA64" s="7"/>
      <c r="BC64" s="4"/>
      <c r="BH64" s="4"/>
      <c r="BI64" s="34"/>
      <c r="BJ64" s="35"/>
      <c r="BK64" s="2"/>
      <c r="BL64" s="2"/>
    </row>
    <row r="65" spans="1:64" x14ac:dyDescent="0.55000000000000004">
      <c r="A65" s="2"/>
      <c r="B65" s="2">
        <v>7</v>
      </c>
      <c r="C65" s="2"/>
      <c r="D65" s="2"/>
      <c r="E65" t="s">
        <v>86</v>
      </c>
      <c r="P65" s="4"/>
      <c r="Q65" t="s">
        <v>76</v>
      </c>
      <c r="AD65" s="4"/>
      <c r="AE65" t="s">
        <v>80</v>
      </c>
      <c r="BA65" s="7"/>
      <c r="BC65" s="4"/>
      <c r="BH65" s="4"/>
      <c r="BI65" s="34"/>
      <c r="BJ65" s="35"/>
      <c r="BK65" s="2"/>
      <c r="BL65" s="2">
        <v>3</v>
      </c>
    </row>
    <row r="66" spans="1:64" x14ac:dyDescent="0.55000000000000004">
      <c r="A66" s="2"/>
      <c r="B66" s="2"/>
      <c r="C66" s="2"/>
      <c r="D66" s="2"/>
      <c r="P66" s="4"/>
      <c r="AD66" s="4"/>
      <c r="AE66" t="s">
        <v>87</v>
      </c>
      <c r="BA66" s="7"/>
      <c r="BC66" s="4"/>
      <c r="BH66" s="4"/>
      <c r="BI66" s="34"/>
      <c r="BJ66" s="35"/>
      <c r="BK66" s="2"/>
      <c r="BL66" s="2">
        <v>3</v>
      </c>
    </row>
    <row r="67" spans="1:64" x14ac:dyDescent="0.55000000000000004">
      <c r="A67" s="2"/>
      <c r="B67" s="2"/>
      <c r="C67" s="2"/>
      <c r="D67" s="2"/>
      <c r="P67" s="4"/>
      <c r="AD67" s="4"/>
      <c r="AE67" t="s">
        <v>82</v>
      </c>
      <c r="BA67" s="7"/>
      <c r="BC67" s="4"/>
      <c r="BH67" s="4"/>
      <c r="BI67" s="34"/>
      <c r="BJ67" s="35"/>
      <c r="BK67" s="2"/>
      <c r="BL67" s="2">
        <v>3</v>
      </c>
    </row>
    <row r="68" spans="1:64" x14ac:dyDescent="0.55000000000000004">
      <c r="A68" s="2"/>
      <c r="B68" s="2"/>
      <c r="C68" s="2"/>
      <c r="D68" s="2"/>
      <c r="P68" s="4"/>
      <c r="AD68" s="4"/>
      <c r="AE68" t="s">
        <v>83</v>
      </c>
      <c r="BA68" s="7"/>
      <c r="BC68" s="4"/>
      <c r="BH68" s="4"/>
      <c r="BI68" s="34"/>
      <c r="BJ68" s="35"/>
      <c r="BK68" s="2"/>
      <c r="BL68" s="2">
        <v>3</v>
      </c>
    </row>
    <row r="69" spans="1:64" x14ac:dyDescent="0.55000000000000004">
      <c r="A69" s="2"/>
      <c r="B69" s="2"/>
      <c r="C69" s="2"/>
      <c r="D69" s="2"/>
      <c r="P69" s="4"/>
      <c r="AD69" s="4"/>
      <c r="AE69" t="s">
        <v>88</v>
      </c>
      <c r="BA69" s="7"/>
      <c r="BC69" s="4"/>
      <c r="BH69" s="4"/>
      <c r="BI69" s="34"/>
      <c r="BJ69" s="35"/>
      <c r="BK69" s="2"/>
      <c r="BL69" s="2">
        <v>3</v>
      </c>
    </row>
    <row r="70" spans="1:64" x14ac:dyDescent="0.55000000000000004">
      <c r="A70" s="2"/>
      <c r="B70" s="2"/>
      <c r="C70" s="2"/>
      <c r="D70" s="2"/>
      <c r="P70" s="4"/>
      <c r="AD70" s="4"/>
      <c r="AE70" t="s">
        <v>89</v>
      </c>
      <c r="BA70" s="7"/>
      <c r="BC70" s="4"/>
      <c r="BH70" s="4"/>
      <c r="BI70" s="34"/>
      <c r="BJ70" s="35"/>
      <c r="BK70" s="2"/>
      <c r="BL70" s="2">
        <v>3</v>
      </c>
    </row>
    <row r="71" spans="1:64" x14ac:dyDescent="0.55000000000000004">
      <c r="A71" s="2"/>
      <c r="B71" s="2"/>
      <c r="C71" s="2"/>
      <c r="D71" s="2"/>
      <c r="P71" s="4"/>
      <c r="AD71" s="4"/>
      <c r="BA71" s="7"/>
      <c r="BC71" s="4"/>
      <c r="BH71" s="4"/>
      <c r="BI71" s="34"/>
      <c r="BJ71" s="35"/>
      <c r="BK71" s="2"/>
      <c r="BL71" s="2"/>
    </row>
    <row r="72" spans="1:64" x14ac:dyDescent="0.55000000000000004">
      <c r="A72" s="2"/>
      <c r="B72" s="2">
        <v>8</v>
      </c>
      <c r="C72" s="2"/>
      <c r="D72" s="2"/>
      <c r="E72" t="s">
        <v>90</v>
      </c>
      <c r="Q72" t="s">
        <v>91</v>
      </c>
      <c r="AD72" s="4"/>
      <c r="AE72" t="s">
        <v>92</v>
      </c>
      <c r="BA72" s="7"/>
      <c r="BC72" s="4"/>
      <c r="BH72" s="4"/>
      <c r="BI72" s="34"/>
      <c r="BJ72" s="35"/>
      <c r="BK72" s="2"/>
      <c r="BL72" s="2">
        <v>3</v>
      </c>
    </row>
    <row r="73" spans="1:64" x14ac:dyDescent="0.55000000000000004">
      <c r="A73" s="2"/>
      <c r="B73" s="2"/>
      <c r="C73" s="2"/>
      <c r="D73" s="2"/>
      <c r="P73" s="4"/>
      <c r="AD73" s="4"/>
      <c r="AE73" t="s">
        <v>93</v>
      </c>
      <c r="BA73" s="7"/>
      <c r="BC73" s="4"/>
      <c r="BH73" s="4"/>
      <c r="BI73" s="34"/>
      <c r="BJ73" s="35"/>
      <c r="BK73" s="2"/>
      <c r="BL73" s="2">
        <v>3</v>
      </c>
    </row>
    <row r="74" spans="1:64" x14ac:dyDescent="0.55000000000000004">
      <c r="A74" s="2"/>
      <c r="B74" s="2"/>
      <c r="C74" s="2"/>
      <c r="D74" s="2"/>
      <c r="P74" s="4"/>
      <c r="AD74" s="4"/>
      <c r="AE74" t="s">
        <v>94</v>
      </c>
      <c r="BA74" s="7"/>
      <c r="BC74" s="4"/>
      <c r="BH74" s="4"/>
      <c r="BI74" s="34"/>
      <c r="BJ74" s="35"/>
      <c r="BK74" s="2"/>
      <c r="BL74" s="2">
        <v>3</v>
      </c>
    </row>
    <row r="75" spans="1:64" x14ac:dyDescent="0.55000000000000004">
      <c r="A75" s="2"/>
      <c r="B75" s="2"/>
      <c r="C75" s="2"/>
      <c r="D75" s="2"/>
      <c r="P75" s="4"/>
      <c r="AD75" s="4"/>
      <c r="AE75" t="s">
        <v>95</v>
      </c>
      <c r="BA75" s="7"/>
      <c r="BC75" s="4"/>
      <c r="BH75" s="4"/>
      <c r="BI75" s="34"/>
      <c r="BJ75" s="35"/>
      <c r="BK75" s="2"/>
      <c r="BL75" s="2">
        <v>3</v>
      </c>
    </row>
    <row r="76" spans="1:64" x14ac:dyDescent="0.55000000000000004">
      <c r="A76" s="2"/>
      <c r="B76" s="2"/>
      <c r="C76" s="2"/>
      <c r="D76" s="2"/>
      <c r="P76" s="4"/>
      <c r="AD76" s="4"/>
      <c r="BA76" s="7"/>
      <c r="BC76" s="4"/>
      <c r="BH76" s="4"/>
      <c r="BI76" s="34"/>
      <c r="BJ76" s="35"/>
      <c r="BK76" s="2"/>
      <c r="BL76" s="2"/>
    </row>
    <row r="77" spans="1:64" x14ac:dyDescent="0.55000000000000004">
      <c r="A77" s="2"/>
      <c r="B77" s="2">
        <v>9</v>
      </c>
      <c r="C77" s="2"/>
      <c r="D77" s="2"/>
      <c r="E77" t="s">
        <v>96</v>
      </c>
      <c r="P77" s="4"/>
      <c r="AD77" s="4"/>
      <c r="AE77" t="s">
        <v>97</v>
      </c>
      <c r="BA77" s="7"/>
      <c r="BC77" s="4"/>
      <c r="BH77" s="4"/>
      <c r="BI77" s="34"/>
      <c r="BJ77" s="35"/>
      <c r="BK77" s="2"/>
      <c r="BL77" s="2">
        <v>3</v>
      </c>
    </row>
    <row r="78" spans="1:64" x14ac:dyDescent="0.55000000000000004">
      <c r="A78" s="2"/>
      <c r="B78" s="2"/>
      <c r="C78" s="2"/>
      <c r="D78" s="2"/>
      <c r="P78" s="4"/>
      <c r="AD78" s="4"/>
      <c r="BA78" s="7"/>
      <c r="BB78" s="9"/>
      <c r="BC78" s="10"/>
      <c r="BH78" s="4"/>
      <c r="BI78" s="36"/>
      <c r="BJ78" s="37"/>
      <c r="BK78" s="8"/>
      <c r="BL78" s="8"/>
    </row>
    <row r="79" spans="1:64" x14ac:dyDescent="0.55000000000000004">
      <c r="A79" s="1">
        <v>3</v>
      </c>
      <c r="B79" s="1"/>
      <c r="C79" s="1"/>
      <c r="D79" s="1"/>
      <c r="E79" s="6" t="s">
        <v>98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3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3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5"/>
      <c r="BC79" s="4"/>
      <c r="BD79" s="6"/>
      <c r="BE79" s="6"/>
      <c r="BF79" s="6"/>
      <c r="BG79" s="6"/>
      <c r="BH79" s="3"/>
      <c r="BI79" s="34"/>
      <c r="BJ79" s="35"/>
      <c r="BK79" s="2"/>
      <c r="BL79" s="2"/>
    </row>
    <row r="80" spans="1:64" x14ac:dyDescent="0.55000000000000004">
      <c r="A80" s="2"/>
      <c r="B80" s="2">
        <v>1</v>
      </c>
      <c r="C80" s="2"/>
      <c r="D80" s="2">
        <v>1</v>
      </c>
      <c r="E80" t="s">
        <v>14</v>
      </c>
      <c r="P80" s="4"/>
      <c r="Q80" t="s">
        <v>51</v>
      </c>
      <c r="AD80" s="4"/>
      <c r="AE80" t="s">
        <v>52</v>
      </c>
      <c r="BA80" s="7"/>
      <c r="BC80" s="4"/>
      <c r="BH80" s="4"/>
      <c r="BI80" s="34"/>
      <c r="BJ80" s="35"/>
      <c r="BK80" s="2"/>
      <c r="BL80" s="2">
        <v>3</v>
      </c>
    </row>
    <row r="81" spans="1:64" x14ac:dyDescent="0.55000000000000004">
      <c r="A81" s="2"/>
      <c r="B81" s="2"/>
      <c r="C81" s="2"/>
      <c r="D81" s="2"/>
      <c r="P81" s="4"/>
      <c r="AD81" s="4"/>
      <c r="AE81" t="s">
        <v>53</v>
      </c>
      <c r="BA81" s="7"/>
      <c r="BC81" s="4"/>
      <c r="BH81" s="4"/>
      <c r="BI81" s="34"/>
      <c r="BJ81" s="35"/>
      <c r="BK81" s="2"/>
      <c r="BL81" s="2">
        <v>3</v>
      </c>
    </row>
    <row r="82" spans="1:64" x14ac:dyDescent="0.55000000000000004">
      <c r="A82" s="2"/>
      <c r="B82" s="2"/>
      <c r="C82" s="2"/>
      <c r="D82" s="2">
        <v>2</v>
      </c>
      <c r="P82" s="4"/>
      <c r="Q82" t="s">
        <v>54</v>
      </c>
      <c r="AD82" s="4"/>
      <c r="AE82" t="s">
        <v>52</v>
      </c>
      <c r="BA82" s="7"/>
      <c r="BC82" s="4"/>
      <c r="BH82" s="4"/>
      <c r="BI82" s="34"/>
      <c r="BJ82" s="35"/>
      <c r="BK82" s="2"/>
      <c r="BL82" s="2">
        <v>3</v>
      </c>
    </row>
    <row r="83" spans="1:64" x14ac:dyDescent="0.55000000000000004">
      <c r="A83" s="2"/>
      <c r="B83" s="2"/>
      <c r="C83" s="2"/>
      <c r="D83" s="2"/>
      <c r="P83" s="4"/>
      <c r="AD83" s="4"/>
      <c r="AE83" t="s">
        <v>55</v>
      </c>
      <c r="BA83" s="7"/>
      <c r="BC83" s="4"/>
      <c r="BH83" s="4"/>
      <c r="BI83" s="34"/>
      <c r="BJ83" s="35"/>
      <c r="BK83" s="2"/>
      <c r="BL83" s="2">
        <v>3</v>
      </c>
    </row>
    <row r="84" spans="1:64" x14ac:dyDescent="0.55000000000000004">
      <c r="A84" s="2"/>
      <c r="B84" s="2"/>
      <c r="C84" s="2"/>
      <c r="D84" s="2"/>
      <c r="P84" s="4"/>
      <c r="AD84" s="4"/>
      <c r="BA84" s="7"/>
      <c r="BC84" s="4"/>
      <c r="BH84" s="4"/>
      <c r="BI84" s="34"/>
      <c r="BJ84" s="35"/>
      <c r="BK84" s="2"/>
      <c r="BL84" s="2"/>
    </row>
    <row r="85" spans="1:64" x14ac:dyDescent="0.55000000000000004">
      <c r="A85" s="2"/>
      <c r="B85" s="2">
        <v>2</v>
      </c>
      <c r="C85" s="2"/>
      <c r="D85" s="2"/>
      <c r="E85" t="s">
        <v>21</v>
      </c>
      <c r="P85" s="4"/>
      <c r="Q85" t="s">
        <v>65</v>
      </c>
      <c r="AD85" s="4"/>
      <c r="BA85" s="7"/>
      <c r="BC85" s="4"/>
      <c r="BH85" s="4"/>
      <c r="BI85" s="34"/>
      <c r="BJ85" s="35"/>
      <c r="BK85" s="2"/>
      <c r="BL85" s="2"/>
    </row>
    <row r="86" spans="1:64" x14ac:dyDescent="0.55000000000000004">
      <c r="A86" s="2"/>
      <c r="B86" s="2"/>
      <c r="C86" s="2"/>
      <c r="D86" s="2"/>
      <c r="P86" s="4"/>
      <c r="R86" t="s">
        <v>66</v>
      </c>
      <c r="AD86" s="4"/>
      <c r="AE86" t="s">
        <v>67</v>
      </c>
      <c r="BA86" s="7"/>
      <c r="BC86" s="4"/>
      <c r="BH86" s="4"/>
      <c r="BI86" s="34"/>
      <c r="BJ86" s="35"/>
      <c r="BK86" s="2"/>
      <c r="BL86" s="2">
        <v>3</v>
      </c>
    </row>
    <row r="87" spans="1:64" x14ac:dyDescent="0.55000000000000004">
      <c r="A87" s="2"/>
      <c r="B87" s="2"/>
      <c r="C87" s="2"/>
      <c r="D87" s="2"/>
      <c r="P87" s="4"/>
      <c r="AD87" s="4"/>
      <c r="BA87" s="7"/>
      <c r="BC87" s="4"/>
      <c r="BH87" s="4"/>
      <c r="BI87" s="34"/>
      <c r="BJ87" s="35"/>
      <c r="BK87" s="2"/>
      <c r="BL87" s="2"/>
    </row>
    <row r="88" spans="1:64" x14ac:dyDescent="0.55000000000000004">
      <c r="A88" s="2"/>
      <c r="B88" s="2">
        <v>3</v>
      </c>
      <c r="C88" s="2"/>
      <c r="D88" s="2"/>
      <c r="E88" t="s">
        <v>43</v>
      </c>
      <c r="P88" s="4"/>
      <c r="Q88" t="s">
        <v>76</v>
      </c>
      <c r="AD88" s="4"/>
      <c r="AE88" t="s">
        <v>99</v>
      </c>
      <c r="BA88" s="7"/>
      <c r="BC88" s="4"/>
      <c r="BH88" s="4"/>
      <c r="BI88" s="34"/>
      <c r="BJ88" s="35"/>
      <c r="BK88" s="2"/>
      <c r="BL88" s="2">
        <v>3</v>
      </c>
    </row>
    <row r="89" spans="1:64" x14ac:dyDescent="0.55000000000000004">
      <c r="A89" s="2"/>
      <c r="B89" s="2">
        <v>4</v>
      </c>
      <c r="C89" s="2"/>
      <c r="D89" s="2"/>
      <c r="E89" t="s">
        <v>100</v>
      </c>
      <c r="P89" s="4"/>
      <c r="Q89" t="s">
        <v>76</v>
      </c>
      <c r="AD89" s="4"/>
      <c r="AE89" t="s">
        <v>99</v>
      </c>
      <c r="BA89" s="7"/>
      <c r="BC89" s="4"/>
      <c r="BH89" s="4"/>
      <c r="BI89" s="34"/>
      <c r="BJ89" s="35"/>
      <c r="BK89" s="2"/>
      <c r="BL89" s="2">
        <v>3</v>
      </c>
    </row>
    <row r="90" spans="1:64" x14ac:dyDescent="0.55000000000000004">
      <c r="A90" s="2"/>
      <c r="B90" s="2">
        <v>5</v>
      </c>
      <c r="C90" s="2"/>
      <c r="D90" s="2"/>
      <c r="E90" t="s">
        <v>90</v>
      </c>
      <c r="P90" s="4"/>
      <c r="Q90" t="s">
        <v>101</v>
      </c>
      <c r="AD90" s="4"/>
      <c r="AE90" t="s">
        <v>102</v>
      </c>
      <c r="BA90" s="7"/>
      <c r="BC90" s="4"/>
      <c r="BH90" s="4"/>
      <c r="BI90" s="34"/>
      <c r="BJ90" s="35"/>
      <c r="BK90" s="2"/>
      <c r="BL90" s="2">
        <v>3</v>
      </c>
    </row>
    <row r="91" spans="1:64" x14ac:dyDescent="0.55000000000000004">
      <c r="A91" s="2"/>
      <c r="B91" s="2">
        <v>6</v>
      </c>
      <c r="C91" s="2"/>
      <c r="D91" s="2"/>
      <c r="E91" t="s">
        <v>96</v>
      </c>
      <c r="P91" s="4"/>
      <c r="AD91" s="4"/>
      <c r="AE91" s="16" t="s">
        <v>103</v>
      </c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7"/>
      <c r="BB91" s="16"/>
      <c r="BC91" s="18"/>
      <c r="BD91" s="16"/>
      <c r="BE91" s="16"/>
      <c r="BF91" s="16"/>
      <c r="BG91" s="16"/>
      <c r="BH91" s="18"/>
      <c r="BI91" s="38"/>
      <c r="BJ91" s="39"/>
      <c r="BK91" s="19"/>
      <c r="BL91" s="19">
        <v>3</v>
      </c>
    </row>
    <row r="92" spans="1:64" ht="12.75" customHeight="1" x14ac:dyDescent="0.55000000000000004">
      <c r="A92" s="2"/>
      <c r="B92" s="2"/>
      <c r="C92" s="2"/>
      <c r="D92" s="2"/>
      <c r="P92" s="4"/>
      <c r="AD92" s="4"/>
      <c r="BA92" s="7"/>
      <c r="BB92" s="9"/>
      <c r="BC92" s="10"/>
      <c r="BH92" s="4"/>
      <c r="BI92" s="36"/>
      <c r="BJ92" s="37"/>
      <c r="BK92" s="8"/>
      <c r="BL92" s="8"/>
    </row>
    <row r="93" spans="1:64" x14ac:dyDescent="0.55000000000000004">
      <c r="A93" s="1">
        <v>4</v>
      </c>
      <c r="B93" s="1"/>
      <c r="C93" s="1"/>
      <c r="D93" s="1"/>
      <c r="E93" s="6" t="s">
        <v>104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3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3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5"/>
      <c r="BC93" s="4"/>
      <c r="BD93" s="6"/>
      <c r="BE93" s="6"/>
      <c r="BF93" s="6"/>
      <c r="BG93" s="6"/>
      <c r="BH93" s="3"/>
      <c r="BI93" s="34"/>
      <c r="BJ93" s="35"/>
      <c r="BK93" s="2"/>
      <c r="BL93" s="2"/>
    </row>
    <row r="94" spans="1:64" x14ac:dyDescent="0.55000000000000004">
      <c r="A94" s="2"/>
      <c r="B94" s="2">
        <v>1</v>
      </c>
      <c r="C94" s="2"/>
      <c r="D94" s="2"/>
      <c r="E94" t="s">
        <v>14</v>
      </c>
      <c r="P94" s="4"/>
      <c r="AD94" s="4"/>
      <c r="AE94" t="s">
        <v>52</v>
      </c>
      <c r="BA94" s="7"/>
      <c r="BC94" s="4"/>
      <c r="BH94" s="4"/>
      <c r="BI94" s="34"/>
      <c r="BJ94" s="35"/>
      <c r="BK94" s="2"/>
      <c r="BL94" s="2">
        <v>3</v>
      </c>
    </row>
    <row r="95" spans="1:64" x14ac:dyDescent="0.55000000000000004">
      <c r="A95" s="2"/>
      <c r="B95" s="2"/>
      <c r="C95" s="2"/>
      <c r="D95" s="2"/>
      <c r="P95" s="4"/>
      <c r="AD95" s="4"/>
      <c r="AE95" t="s">
        <v>105</v>
      </c>
      <c r="BA95" s="7"/>
      <c r="BC95" s="4"/>
      <c r="BH95" s="4"/>
      <c r="BI95" s="34"/>
      <c r="BJ95" s="35"/>
      <c r="BK95" s="2"/>
      <c r="BL95" s="2">
        <v>3</v>
      </c>
    </row>
    <row r="96" spans="1:64" x14ac:dyDescent="0.55000000000000004">
      <c r="A96" s="2"/>
      <c r="B96" s="2"/>
      <c r="C96" s="2"/>
      <c r="D96" s="2"/>
      <c r="P96" s="4"/>
      <c r="AD96" s="4"/>
      <c r="AE96" t="s">
        <v>106</v>
      </c>
      <c r="BA96" s="7"/>
      <c r="BC96" s="4"/>
      <c r="BH96" s="4"/>
      <c r="BI96" s="34"/>
      <c r="BJ96" s="35"/>
      <c r="BK96" s="2"/>
      <c r="BL96" s="2">
        <v>3</v>
      </c>
    </row>
    <row r="97" spans="1:64" x14ac:dyDescent="0.55000000000000004">
      <c r="A97" s="2"/>
      <c r="B97" s="2"/>
      <c r="C97" s="2"/>
      <c r="D97" s="2"/>
      <c r="P97" s="4"/>
      <c r="AD97" s="4"/>
      <c r="BA97" s="7"/>
      <c r="BC97" s="4"/>
      <c r="BH97" s="4"/>
      <c r="BI97" s="34"/>
      <c r="BJ97" s="35"/>
      <c r="BK97" s="2"/>
      <c r="BL97" s="2"/>
    </row>
    <row r="98" spans="1:64" x14ac:dyDescent="0.55000000000000004">
      <c r="A98" s="2"/>
      <c r="B98" s="2">
        <v>2</v>
      </c>
      <c r="C98" s="2"/>
      <c r="D98" s="2"/>
      <c r="E98" t="s">
        <v>38</v>
      </c>
      <c r="P98" s="4"/>
      <c r="Q98" t="s">
        <v>107</v>
      </c>
      <c r="AD98" s="4"/>
      <c r="AE98" t="s">
        <v>108</v>
      </c>
      <c r="BA98" s="7"/>
      <c r="BC98" s="4"/>
      <c r="BH98" s="4"/>
      <c r="BI98" s="34"/>
      <c r="BJ98" s="35"/>
      <c r="BK98" s="2"/>
      <c r="BL98" s="2">
        <v>3</v>
      </c>
    </row>
    <row r="99" spans="1:64" x14ac:dyDescent="0.55000000000000004">
      <c r="A99" s="2"/>
      <c r="B99" s="2"/>
      <c r="C99" s="2"/>
      <c r="D99" s="2"/>
      <c r="P99" s="4"/>
      <c r="AD99" s="4"/>
      <c r="AE99" t="s">
        <v>109</v>
      </c>
      <c r="BA99" s="7"/>
      <c r="BC99" s="4"/>
      <c r="BH99" s="4"/>
      <c r="BI99" s="34"/>
      <c r="BJ99" s="35"/>
      <c r="BK99" s="2"/>
      <c r="BL99" s="2">
        <v>3</v>
      </c>
    </row>
    <row r="100" spans="1:64" x14ac:dyDescent="0.55000000000000004">
      <c r="A100" s="2"/>
      <c r="B100" s="2"/>
      <c r="C100" s="2"/>
      <c r="D100" s="2"/>
      <c r="P100" s="4"/>
      <c r="Q100" t="s">
        <v>42</v>
      </c>
      <c r="AD100" s="4"/>
      <c r="AE100" t="s">
        <v>110</v>
      </c>
      <c r="BA100" s="7"/>
      <c r="BC100" s="4"/>
      <c r="BH100" s="4"/>
      <c r="BI100" s="34"/>
      <c r="BJ100" s="35"/>
      <c r="BK100" s="2"/>
      <c r="BL100" s="2">
        <v>3</v>
      </c>
    </row>
    <row r="101" spans="1:64" x14ac:dyDescent="0.55000000000000004">
      <c r="A101" s="2"/>
      <c r="B101" s="2"/>
      <c r="C101" s="2"/>
      <c r="D101" s="2"/>
      <c r="P101" s="4"/>
      <c r="Q101" t="s">
        <v>111</v>
      </c>
      <c r="AD101" s="4"/>
      <c r="AE101" t="s">
        <v>112</v>
      </c>
      <c r="BA101" s="7"/>
      <c r="BC101" s="4"/>
      <c r="BH101" s="4"/>
      <c r="BI101" s="34"/>
      <c r="BJ101" s="35"/>
      <c r="BK101" s="2"/>
      <c r="BL101" s="2">
        <v>3</v>
      </c>
    </row>
    <row r="102" spans="1:64" x14ac:dyDescent="0.55000000000000004">
      <c r="A102" s="2"/>
      <c r="B102" s="2"/>
      <c r="C102" s="2"/>
      <c r="D102" s="2"/>
      <c r="P102" s="4"/>
      <c r="AD102" s="4"/>
      <c r="BA102" s="7"/>
      <c r="BC102" s="4"/>
      <c r="BH102" s="4"/>
      <c r="BI102" s="34"/>
      <c r="BJ102" s="35"/>
      <c r="BK102" s="2"/>
      <c r="BL102" s="2"/>
    </row>
    <row r="103" spans="1:64" x14ac:dyDescent="0.55000000000000004">
      <c r="A103" s="2"/>
      <c r="B103" s="2">
        <v>3</v>
      </c>
      <c r="C103" s="2"/>
      <c r="D103" s="2"/>
      <c r="E103" t="s">
        <v>113</v>
      </c>
      <c r="P103" s="4"/>
      <c r="Q103" t="s">
        <v>114</v>
      </c>
      <c r="AD103" s="4"/>
      <c r="AE103" t="s">
        <v>115</v>
      </c>
      <c r="BA103" s="7"/>
      <c r="BC103" s="4"/>
      <c r="BH103" s="4"/>
      <c r="BI103" s="34"/>
      <c r="BJ103" s="35"/>
      <c r="BK103" s="2"/>
      <c r="BL103" s="2">
        <v>3</v>
      </c>
    </row>
    <row r="104" spans="1:64" x14ac:dyDescent="0.55000000000000004">
      <c r="A104" s="2"/>
      <c r="B104" s="2"/>
      <c r="C104" s="2"/>
      <c r="D104" s="2"/>
      <c r="P104" s="4"/>
      <c r="AD104" s="4"/>
      <c r="AF104" t="s">
        <v>116</v>
      </c>
      <c r="BA104" s="7"/>
      <c r="BC104" s="4"/>
      <c r="BH104" s="4"/>
      <c r="BI104" s="34"/>
      <c r="BJ104" s="35"/>
      <c r="BK104" s="2"/>
      <c r="BL104" s="2">
        <v>3</v>
      </c>
    </row>
    <row r="105" spans="1:64" x14ac:dyDescent="0.55000000000000004">
      <c r="A105" s="2"/>
      <c r="B105" s="2"/>
      <c r="C105" s="2"/>
      <c r="D105" s="2"/>
      <c r="P105" s="4"/>
      <c r="Q105" t="s">
        <v>117</v>
      </c>
      <c r="AD105" s="4"/>
      <c r="AE105" t="s">
        <v>118</v>
      </c>
      <c r="BA105" s="7"/>
      <c r="BC105" s="4"/>
      <c r="BH105" s="4"/>
      <c r="BI105" s="34"/>
      <c r="BJ105" s="35"/>
      <c r="BK105" s="2"/>
      <c r="BL105" s="2">
        <v>3</v>
      </c>
    </row>
    <row r="106" spans="1:64" x14ac:dyDescent="0.55000000000000004">
      <c r="A106" s="2"/>
      <c r="B106" s="2"/>
      <c r="C106" s="2"/>
      <c r="D106" s="2"/>
      <c r="P106" s="4"/>
      <c r="AD106" s="4"/>
      <c r="BA106" s="7"/>
      <c r="BC106" s="4"/>
      <c r="BH106" s="4"/>
      <c r="BI106" s="34"/>
      <c r="BJ106" s="35"/>
      <c r="BK106" s="2"/>
      <c r="BL106" s="2"/>
    </row>
    <row r="107" spans="1:64" x14ac:dyDescent="0.55000000000000004">
      <c r="A107" s="2"/>
      <c r="B107" s="2">
        <v>4</v>
      </c>
      <c r="C107" s="2"/>
      <c r="D107" s="2"/>
      <c r="E107" t="s">
        <v>119</v>
      </c>
      <c r="P107" s="4"/>
      <c r="AD107" s="4"/>
      <c r="AE107" t="s">
        <v>120</v>
      </c>
      <c r="BA107" s="7"/>
      <c r="BC107" s="4"/>
      <c r="BH107" s="4"/>
      <c r="BI107" s="34"/>
      <c r="BJ107" s="35"/>
      <c r="BK107" s="2"/>
      <c r="BL107" s="2">
        <v>3</v>
      </c>
    </row>
    <row r="108" spans="1:64" x14ac:dyDescent="0.55000000000000004">
      <c r="A108" s="2"/>
      <c r="B108" s="2"/>
      <c r="C108" s="2"/>
      <c r="D108" s="2"/>
      <c r="P108" s="4"/>
      <c r="AD108" s="4"/>
      <c r="BA108" s="7"/>
      <c r="BB108" s="26"/>
      <c r="BC108" s="4"/>
      <c r="BH108" s="4"/>
      <c r="BI108" s="36"/>
      <c r="BJ108" s="37"/>
      <c r="BK108" s="8"/>
      <c r="BL108" s="8"/>
    </row>
    <row r="109" spans="1:64" x14ac:dyDescent="0.55000000000000004">
      <c r="A109" s="3">
        <v>5</v>
      </c>
      <c r="B109" s="1"/>
      <c r="C109" s="1"/>
      <c r="D109" s="1"/>
      <c r="E109" s="6" t="s">
        <v>121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3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3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5"/>
      <c r="BB109" s="6"/>
      <c r="BC109" s="3"/>
      <c r="BD109" s="6"/>
      <c r="BE109" s="6"/>
      <c r="BF109" s="6"/>
      <c r="BG109" s="6"/>
      <c r="BH109" s="3"/>
      <c r="BJ109" s="4"/>
      <c r="BK109" s="3"/>
      <c r="BL109" s="3"/>
    </row>
    <row r="110" spans="1:64" x14ac:dyDescent="0.55000000000000004">
      <c r="A110" s="2"/>
      <c r="B110" s="2"/>
      <c r="C110" s="2"/>
      <c r="D110" s="4"/>
      <c r="P110" s="4"/>
      <c r="AD110" s="4"/>
      <c r="BA110" s="7"/>
      <c r="BC110" s="4"/>
      <c r="BH110" s="4"/>
      <c r="BI110" s="32"/>
      <c r="BJ110" s="33"/>
      <c r="BK110" s="4"/>
      <c r="BL110" s="4"/>
    </row>
    <row r="111" spans="1:64" x14ac:dyDescent="0.55000000000000004">
      <c r="A111" s="2"/>
      <c r="B111" s="2">
        <v>1</v>
      </c>
      <c r="C111" s="2"/>
      <c r="D111" s="2"/>
      <c r="E111" t="s">
        <v>122</v>
      </c>
      <c r="P111" s="4"/>
      <c r="AD111" s="4"/>
      <c r="AE111" t="s">
        <v>123</v>
      </c>
      <c r="BA111" s="7"/>
      <c r="BC111" s="4"/>
      <c r="BH111" s="4"/>
      <c r="BI111" s="32"/>
      <c r="BJ111" s="33"/>
      <c r="BK111" s="2"/>
      <c r="BL111" s="2">
        <v>3</v>
      </c>
    </row>
    <row r="112" spans="1:64" x14ac:dyDescent="0.55000000000000004">
      <c r="A112" s="2"/>
      <c r="B112" s="2"/>
      <c r="C112" s="2"/>
      <c r="D112" s="2"/>
      <c r="P112" s="4"/>
      <c r="AD112" s="4"/>
      <c r="AE112" t="s">
        <v>124</v>
      </c>
      <c r="BA112" s="7"/>
      <c r="BC112" s="4"/>
      <c r="BH112" s="4"/>
      <c r="BI112" s="32"/>
      <c r="BJ112" s="33"/>
      <c r="BK112" s="2"/>
      <c r="BL112" s="2">
        <v>3</v>
      </c>
    </row>
    <row r="113" spans="1:64" x14ac:dyDescent="0.55000000000000004">
      <c r="A113" s="2"/>
      <c r="B113" s="2"/>
      <c r="C113" s="2"/>
      <c r="D113" s="2"/>
      <c r="P113" s="4"/>
      <c r="AD113" s="4"/>
      <c r="BA113" s="7"/>
      <c r="BC113" s="4"/>
      <c r="BH113" s="4"/>
      <c r="BI113" s="32"/>
      <c r="BJ113" s="33"/>
      <c r="BK113" s="2"/>
      <c r="BL113" s="2"/>
    </row>
    <row r="114" spans="1:64" x14ac:dyDescent="0.55000000000000004">
      <c r="A114" s="2"/>
      <c r="B114" s="2">
        <v>2</v>
      </c>
      <c r="C114" s="2"/>
      <c r="D114" s="2"/>
      <c r="E114" t="s">
        <v>125</v>
      </c>
      <c r="P114" s="4"/>
      <c r="AD114" s="4"/>
      <c r="AE114" t="s">
        <v>126</v>
      </c>
      <c r="BA114" s="7"/>
      <c r="BC114" s="4"/>
      <c r="BH114" s="4"/>
      <c r="BI114" s="32"/>
      <c r="BJ114" s="33"/>
      <c r="BK114" s="2"/>
      <c r="BL114" s="2"/>
    </row>
    <row r="115" spans="1:64" x14ac:dyDescent="0.55000000000000004">
      <c r="A115" s="2"/>
      <c r="B115" s="2"/>
      <c r="C115" s="2"/>
      <c r="D115" s="2"/>
      <c r="P115" s="4"/>
      <c r="AD115" s="4"/>
      <c r="AE115" t="s">
        <v>127</v>
      </c>
      <c r="BA115" s="7"/>
      <c r="BC115" s="4"/>
      <c r="BH115" s="4"/>
      <c r="BI115" s="32"/>
      <c r="BJ115" s="33"/>
      <c r="BK115" s="2"/>
      <c r="BL115" s="2">
        <v>3</v>
      </c>
    </row>
    <row r="116" spans="1:64" x14ac:dyDescent="0.55000000000000004">
      <c r="A116" s="2"/>
      <c r="B116" s="2"/>
      <c r="C116" s="2"/>
      <c r="D116" s="2"/>
      <c r="P116" s="4"/>
      <c r="AD116" s="4"/>
      <c r="AE116" t="s">
        <v>128</v>
      </c>
      <c r="BA116" s="7"/>
      <c r="BC116" s="4"/>
      <c r="BH116" s="4"/>
      <c r="BI116" s="32"/>
      <c r="BJ116" s="33"/>
      <c r="BK116" s="2"/>
      <c r="BL116" s="2">
        <v>3</v>
      </c>
    </row>
    <row r="117" spans="1:64" x14ac:dyDescent="0.55000000000000004">
      <c r="A117" s="2"/>
      <c r="B117" s="2"/>
      <c r="C117" s="2"/>
      <c r="D117" s="2"/>
      <c r="P117" s="4"/>
      <c r="AD117" s="4"/>
      <c r="AE117" t="s">
        <v>129</v>
      </c>
      <c r="BA117" s="7"/>
      <c r="BC117" s="4"/>
      <c r="BH117" s="4"/>
      <c r="BI117" s="32"/>
      <c r="BJ117" s="33"/>
      <c r="BK117" s="2"/>
      <c r="BL117" s="2">
        <v>3</v>
      </c>
    </row>
    <row r="118" spans="1:64" x14ac:dyDescent="0.55000000000000004">
      <c r="A118" s="2"/>
      <c r="B118" s="2"/>
      <c r="C118" s="2"/>
      <c r="D118" s="2"/>
      <c r="P118" s="4"/>
      <c r="AD118" s="4"/>
      <c r="BA118" s="7"/>
      <c r="BC118" s="4"/>
      <c r="BH118" s="4"/>
      <c r="BI118" s="32"/>
      <c r="BJ118" s="33"/>
      <c r="BK118" s="2"/>
      <c r="BL118" s="2"/>
    </row>
    <row r="119" spans="1:64" x14ac:dyDescent="0.55000000000000004">
      <c r="A119" s="2"/>
      <c r="B119" s="2">
        <v>3</v>
      </c>
      <c r="C119" s="2"/>
      <c r="D119" s="2"/>
      <c r="E119" t="s">
        <v>130</v>
      </c>
      <c r="P119" s="4"/>
      <c r="AD119" s="4"/>
      <c r="AE119" t="s">
        <v>131</v>
      </c>
      <c r="BA119" s="7"/>
      <c r="BC119" s="4"/>
      <c r="BH119" s="4"/>
      <c r="BI119" s="32"/>
      <c r="BJ119" s="33"/>
      <c r="BK119" s="2"/>
      <c r="BL119" s="2">
        <v>3</v>
      </c>
    </row>
    <row r="120" spans="1:64" x14ac:dyDescent="0.55000000000000004">
      <c r="A120" s="2"/>
      <c r="B120" s="2"/>
      <c r="C120" s="2"/>
      <c r="D120" s="2"/>
      <c r="P120" s="4"/>
      <c r="AD120" s="4"/>
      <c r="AE120" t="s">
        <v>132</v>
      </c>
      <c r="BA120" s="7"/>
      <c r="BC120" s="4"/>
      <c r="BH120" s="4"/>
      <c r="BI120" s="32"/>
      <c r="BJ120" s="33"/>
      <c r="BK120" s="2"/>
      <c r="BL120" s="2">
        <v>3</v>
      </c>
    </row>
    <row r="121" spans="1:64" x14ac:dyDescent="0.55000000000000004">
      <c r="A121" s="2"/>
      <c r="B121" s="2"/>
      <c r="C121" s="2"/>
      <c r="D121" s="2"/>
      <c r="P121" s="4"/>
      <c r="AD121" s="4"/>
      <c r="BA121" s="7"/>
      <c r="BC121" s="4"/>
      <c r="BH121" s="4"/>
      <c r="BI121" s="32"/>
      <c r="BJ121" s="33"/>
      <c r="BK121" s="2" t="str">
        <f t="shared" ref="BK121:BK131" si="0">IF(BL121="", "",IF(BI121="",3,IF(BI121="Thấp",2,IF(BI121="TB",1,IF(BI121="Cao",0)))))</f>
        <v/>
      </c>
      <c r="BL121" s="2"/>
    </row>
    <row r="122" spans="1:64" x14ac:dyDescent="0.55000000000000004">
      <c r="A122" s="2"/>
      <c r="B122" s="2"/>
      <c r="C122" s="2"/>
      <c r="D122" s="2"/>
      <c r="P122" s="4"/>
      <c r="AD122" s="4"/>
      <c r="BA122" s="7"/>
      <c r="BC122" s="4"/>
      <c r="BH122" s="4"/>
      <c r="BI122" s="32"/>
      <c r="BJ122" s="33"/>
      <c r="BK122" s="2" t="str">
        <f t="shared" si="0"/>
        <v/>
      </c>
      <c r="BL122" s="2"/>
    </row>
    <row r="123" spans="1:64" x14ac:dyDescent="0.55000000000000004">
      <c r="A123" s="2"/>
      <c r="B123" s="2"/>
      <c r="C123" s="2"/>
      <c r="D123" s="2"/>
      <c r="P123" s="4"/>
      <c r="AD123" s="4"/>
      <c r="BA123" s="7"/>
      <c r="BC123" s="4"/>
      <c r="BH123" s="4"/>
      <c r="BI123" s="32"/>
      <c r="BJ123" s="33"/>
      <c r="BK123" s="2" t="str">
        <f t="shared" si="0"/>
        <v/>
      </c>
      <c r="BL123" s="2"/>
    </row>
    <row r="124" spans="1:64" x14ac:dyDescent="0.55000000000000004">
      <c r="A124" s="2"/>
      <c r="B124" s="2"/>
      <c r="C124" s="2"/>
      <c r="D124" s="2"/>
      <c r="P124" s="4"/>
      <c r="AD124" s="4"/>
      <c r="BA124" s="7"/>
      <c r="BC124" s="4"/>
      <c r="BH124" s="4"/>
      <c r="BI124" s="32"/>
      <c r="BJ124" s="33"/>
      <c r="BK124" s="2" t="str">
        <f t="shared" si="0"/>
        <v/>
      </c>
      <c r="BL124" s="2"/>
    </row>
    <row r="125" spans="1:64" x14ac:dyDescent="0.55000000000000004">
      <c r="A125" s="2"/>
      <c r="B125" s="2"/>
      <c r="C125" s="2"/>
      <c r="D125" s="2"/>
      <c r="P125" s="4"/>
      <c r="AD125" s="4"/>
      <c r="BA125" s="7"/>
      <c r="BC125" s="4"/>
      <c r="BH125" s="4"/>
      <c r="BI125" s="32"/>
      <c r="BJ125" s="33"/>
      <c r="BK125" s="2" t="str">
        <f t="shared" si="0"/>
        <v/>
      </c>
      <c r="BL125" s="2"/>
    </row>
    <row r="126" spans="1:64" x14ac:dyDescent="0.55000000000000004">
      <c r="A126" s="2"/>
      <c r="B126" s="2"/>
      <c r="C126" s="2"/>
      <c r="D126" s="2"/>
      <c r="P126" s="4"/>
      <c r="AD126" s="4"/>
      <c r="BA126" s="7"/>
      <c r="BC126" s="4"/>
      <c r="BH126" s="4"/>
      <c r="BI126" s="32"/>
      <c r="BJ126" s="33"/>
      <c r="BK126" s="2" t="str">
        <f t="shared" si="0"/>
        <v/>
      </c>
      <c r="BL126" s="2"/>
    </row>
    <row r="127" spans="1:64" x14ac:dyDescent="0.55000000000000004">
      <c r="A127" s="2"/>
      <c r="B127" s="2"/>
      <c r="C127" s="2"/>
      <c r="D127" s="2"/>
      <c r="P127" s="4"/>
      <c r="AD127" s="4"/>
      <c r="BA127" s="7"/>
      <c r="BC127" s="4"/>
      <c r="BH127" s="4"/>
      <c r="BI127" s="32"/>
      <c r="BJ127" s="33"/>
      <c r="BK127" s="2" t="str">
        <f t="shared" si="0"/>
        <v/>
      </c>
      <c r="BL127" s="2"/>
    </row>
    <row r="128" spans="1:64" x14ac:dyDescent="0.55000000000000004">
      <c r="A128" s="2"/>
      <c r="B128" s="2"/>
      <c r="C128" s="2"/>
      <c r="D128" s="2"/>
      <c r="P128" s="4"/>
      <c r="AD128" s="4"/>
      <c r="BA128" s="7"/>
      <c r="BC128" s="4"/>
      <c r="BH128" s="4"/>
      <c r="BI128" s="32"/>
      <c r="BJ128" s="33"/>
      <c r="BK128" s="2" t="str">
        <f t="shared" si="0"/>
        <v/>
      </c>
      <c r="BL128" s="2"/>
    </row>
    <row r="129" spans="1:64" x14ac:dyDescent="0.55000000000000004">
      <c r="A129" s="2"/>
      <c r="B129" s="2"/>
      <c r="C129" s="2"/>
      <c r="D129" s="2"/>
      <c r="P129" s="4"/>
      <c r="AD129" s="4"/>
      <c r="BA129" s="7"/>
      <c r="BC129" s="4"/>
      <c r="BH129" s="4"/>
      <c r="BI129" s="32"/>
      <c r="BJ129" s="33"/>
      <c r="BK129" s="2" t="str">
        <f t="shared" si="0"/>
        <v/>
      </c>
      <c r="BL129" s="2"/>
    </row>
    <row r="130" spans="1:64" x14ac:dyDescent="0.55000000000000004">
      <c r="A130" s="2"/>
      <c r="B130" s="2"/>
      <c r="C130" s="2"/>
      <c r="D130" s="2"/>
      <c r="P130" s="4"/>
      <c r="AD130" s="4"/>
      <c r="BA130" s="7"/>
      <c r="BC130" s="4"/>
      <c r="BH130" s="4"/>
      <c r="BI130" s="32"/>
      <c r="BJ130" s="33"/>
      <c r="BK130" s="2" t="str">
        <f t="shared" si="0"/>
        <v/>
      </c>
      <c r="BL130" s="2"/>
    </row>
    <row r="131" spans="1:64" x14ac:dyDescent="0.55000000000000004">
      <c r="A131" s="2"/>
      <c r="B131" s="2"/>
      <c r="C131" s="2"/>
      <c r="D131" s="2"/>
      <c r="P131" s="4"/>
      <c r="AD131" s="4"/>
      <c r="BA131" s="7"/>
      <c r="BC131" s="4"/>
      <c r="BH131" s="4"/>
      <c r="BI131" s="32"/>
      <c r="BJ131" s="33"/>
      <c r="BK131" s="2" t="str">
        <f t="shared" si="0"/>
        <v/>
      </c>
      <c r="BL131" s="2"/>
    </row>
    <row r="132" spans="1:64" x14ac:dyDescent="0.55000000000000004">
      <c r="A132" s="2"/>
      <c r="B132" s="2"/>
      <c r="C132" s="2"/>
      <c r="D132" s="2"/>
      <c r="P132" s="4"/>
      <c r="AD132" s="4"/>
      <c r="BA132" s="7"/>
      <c r="BC132" s="4"/>
      <c r="BH132" s="4"/>
      <c r="BI132" s="32"/>
      <c r="BJ132" s="33"/>
      <c r="BK132" s="2"/>
      <c r="BL132" s="2"/>
    </row>
    <row r="133" spans="1:64" x14ac:dyDescent="0.55000000000000004">
      <c r="A133" s="2"/>
      <c r="B133" s="2"/>
      <c r="C133" s="2"/>
      <c r="D133" s="2"/>
      <c r="P133" s="4"/>
      <c r="AD133" s="4"/>
      <c r="BA133" s="7"/>
      <c r="BC133" s="4"/>
      <c r="BH133" s="4"/>
      <c r="BI133" s="32"/>
      <c r="BJ133" s="33"/>
      <c r="BK133" s="2"/>
      <c r="BL133" s="2"/>
    </row>
    <row r="134" spans="1:64" x14ac:dyDescent="0.55000000000000004">
      <c r="A134" s="2"/>
      <c r="B134" s="2"/>
      <c r="C134" s="2"/>
      <c r="D134" s="2"/>
      <c r="P134" s="4"/>
      <c r="AD134" s="4"/>
      <c r="BA134" s="7"/>
      <c r="BC134" s="4"/>
      <c r="BH134" s="4"/>
      <c r="BI134" s="32"/>
      <c r="BJ134" s="33"/>
      <c r="BK134" s="2"/>
      <c r="BL134" s="2"/>
    </row>
    <row r="135" spans="1:64" x14ac:dyDescent="0.55000000000000004">
      <c r="A135" s="2"/>
      <c r="B135" s="2"/>
      <c r="C135" s="2"/>
      <c r="D135" s="2"/>
      <c r="P135" s="4"/>
      <c r="AD135" s="4"/>
      <c r="BA135" s="7"/>
      <c r="BC135" s="4"/>
      <c r="BH135" s="4"/>
      <c r="BI135" s="32"/>
      <c r="BJ135" s="33"/>
      <c r="BK135" s="2"/>
      <c r="BL135" s="2"/>
    </row>
    <row r="136" spans="1:64" x14ac:dyDescent="0.55000000000000004">
      <c r="A136" s="2"/>
      <c r="B136" s="2"/>
      <c r="C136" s="2"/>
      <c r="D136" s="2"/>
      <c r="P136" s="4"/>
      <c r="AD136" s="4"/>
      <c r="BA136" s="7"/>
      <c r="BC136" s="4"/>
      <c r="BH136" s="4"/>
      <c r="BI136" s="32"/>
      <c r="BJ136" s="33"/>
      <c r="BK136" s="2"/>
      <c r="BL136" s="2"/>
    </row>
    <row r="137" spans="1:64" x14ac:dyDescent="0.55000000000000004">
      <c r="A137" s="2"/>
      <c r="B137" s="2"/>
      <c r="C137" s="2"/>
      <c r="D137" s="2"/>
      <c r="P137" s="4"/>
      <c r="AD137" s="4"/>
      <c r="BA137" s="7"/>
      <c r="BC137" s="4"/>
      <c r="BH137" s="4"/>
      <c r="BI137" s="32"/>
      <c r="BJ137" s="33"/>
      <c r="BK137" s="2"/>
      <c r="BL137" s="2"/>
    </row>
    <row r="138" spans="1:64" x14ac:dyDescent="0.55000000000000004">
      <c r="A138" s="2"/>
      <c r="B138" s="2"/>
      <c r="C138" s="2"/>
      <c r="D138" s="2"/>
      <c r="P138" s="4"/>
      <c r="AD138" s="4"/>
      <c r="BA138" s="7"/>
      <c r="BC138" s="4"/>
      <c r="BH138" s="4"/>
      <c r="BI138" s="32"/>
      <c r="BJ138" s="33"/>
      <c r="BK138" s="2"/>
      <c r="BL138" s="2"/>
    </row>
    <row r="139" spans="1:64" x14ac:dyDescent="0.55000000000000004">
      <c r="A139" s="2"/>
      <c r="B139" s="2"/>
      <c r="C139" s="2"/>
      <c r="D139" s="2"/>
      <c r="P139" s="4"/>
      <c r="AD139" s="4"/>
      <c r="BA139" s="7"/>
      <c r="BC139" s="4"/>
      <c r="BH139" s="4"/>
      <c r="BI139" s="32"/>
      <c r="BJ139" s="33"/>
      <c r="BK139" s="2"/>
      <c r="BL139" s="2"/>
    </row>
    <row r="140" spans="1:64" x14ac:dyDescent="0.55000000000000004">
      <c r="A140" s="2"/>
      <c r="B140" s="2"/>
      <c r="C140" s="2"/>
      <c r="D140" s="2"/>
      <c r="P140" s="4"/>
      <c r="AD140" s="4"/>
      <c r="BA140" s="7"/>
      <c r="BC140" s="4"/>
      <c r="BH140" s="4"/>
      <c r="BI140" s="32"/>
      <c r="BJ140" s="33"/>
      <c r="BK140" s="2"/>
      <c r="BL140" s="2"/>
    </row>
    <row r="141" spans="1:64" x14ac:dyDescent="0.55000000000000004">
      <c r="A141" s="2"/>
      <c r="B141" s="2"/>
      <c r="C141" s="2"/>
      <c r="D141" s="2"/>
      <c r="P141" s="4"/>
      <c r="AD141" s="4"/>
      <c r="BA141" s="7"/>
      <c r="BC141" s="4"/>
      <c r="BH141" s="4"/>
      <c r="BI141" s="32"/>
      <c r="BJ141" s="33"/>
      <c r="BK141" s="2"/>
      <c r="BL141" s="2"/>
    </row>
    <row r="142" spans="1:64" x14ac:dyDescent="0.55000000000000004">
      <c r="A142" s="2"/>
      <c r="B142" s="2"/>
      <c r="C142" s="2"/>
      <c r="D142" s="2"/>
      <c r="P142" s="4"/>
      <c r="AD142" s="4"/>
      <c r="BA142" s="7"/>
      <c r="BC142" s="4"/>
      <c r="BH142" s="4"/>
      <c r="BI142" s="32"/>
      <c r="BJ142" s="33"/>
      <c r="BK142" s="2"/>
      <c r="BL142" s="2"/>
    </row>
    <row r="143" spans="1:64" x14ac:dyDescent="0.55000000000000004">
      <c r="A143" s="2"/>
      <c r="B143" s="2"/>
      <c r="C143" s="2"/>
      <c r="D143" s="2"/>
      <c r="P143" s="4"/>
      <c r="AD143" s="4"/>
      <c r="BA143" s="7"/>
      <c r="BC143" s="4"/>
      <c r="BH143" s="4"/>
      <c r="BI143" s="32"/>
      <c r="BJ143" s="33"/>
      <c r="BK143" s="2"/>
      <c r="BL143" s="2"/>
    </row>
    <row r="144" spans="1:64" x14ac:dyDescent="0.55000000000000004">
      <c r="A144" s="2"/>
      <c r="B144" s="2"/>
      <c r="C144" s="2"/>
      <c r="D144" s="2"/>
      <c r="P144" s="4"/>
      <c r="AD144" s="4"/>
      <c r="BA144" s="7"/>
      <c r="BC144" s="4"/>
      <c r="BH144" s="4"/>
      <c r="BI144" s="32"/>
      <c r="BJ144" s="33"/>
      <c r="BK144" s="2"/>
      <c r="BL144" s="2"/>
    </row>
    <row r="145" spans="1:64" x14ac:dyDescent="0.55000000000000004">
      <c r="A145" s="2"/>
      <c r="B145" s="2"/>
      <c r="C145" s="2"/>
      <c r="D145" s="2"/>
      <c r="P145" s="4"/>
      <c r="AD145" s="4"/>
      <c r="BA145" s="7"/>
      <c r="BC145" s="4"/>
      <c r="BH145" s="4"/>
      <c r="BI145" s="32"/>
      <c r="BJ145" s="33"/>
      <c r="BK145" s="2"/>
      <c r="BL145" s="2"/>
    </row>
    <row r="146" spans="1:64" x14ac:dyDescent="0.55000000000000004">
      <c r="A146" s="2"/>
      <c r="B146" s="2"/>
      <c r="C146" s="2"/>
      <c r="D146" s="2"/>
      <c r="P146" s="4"/>
      <c r="AD146" s="4"/>
      <c r="BA146" s="7"/>
      <c r="BC146" s="4"/>
      <c r="BH146" s="4"/>
      <c r="BI146" s="32"/>
      <c r="BJ146" s="33"/>
      <c r="BK146" s="2"/>
      <c r="BL146" s="2"/>
    </row>
    <row r="147" spans="1:64" x14ac:dyDescent="0.55000000000000004">
      <c r="A147" s="2"/>
      <c r="B147" s="2"/>
      <c r="C147" s="2"/>
      <c r="D147" s="2"/>
      <c r="P147" s="4"/>
      <c r="AD147" s="4"/>
      <c r="BA147" s="7"/>
      <c r="BC147" s="4"/>
      <c r="BH147" s="4"/>
      <c r="BI147" s="32"/>
      <c r="BJ147" s="33"/>
      <c r="BK147" s="2"/>
      <c r="BL147" s="2"/>
    </row>
    <row r="148" spans="1:64" x14ac:dyDescent="0.55000000000000004">
      <c r="A148" s="2"/>
      <c r="B148" s="2"/>
      <c r="C148" s="2"/>
      <c r="D148" s="2"/>
      <c r="P148" s="4"/>
      <c r="AD148" s="4"/>
      <c r="BA148" s="7"/>
      <c r="BC148" s="4"/>
      <c r="BH148" s="4"/>
      <c r="BI148" s="32"/>
      <c r="BJ148" s="33"/>
      <c r="BK148" s="2"/>
      <c r="BL148" s="2"/>
    </row>
    <row r="149" spans="1:64" x14ac:dyDescent="0.55000000000000004">
      <c r="A149" s="2"/>
      <c r="B149" s="2"/>
      <c r="C149" s="2"/>
      <c r="D149" s="2"/>
      <c r="P149" s="4"/>
      <c r="AD149" s="4"/>
      <c r="BA149" s="7"/>
      <c r="BC149" s="4"/>
      <c r="BH149" s="4"/>
      <c r="BI149" s="32"/>
      <c r="BJ149" s="33"/>
      <c r="BK149" s="2"/>
      <c r="BL149" s="2"/>
    </row>
    <row r="150" spans="1:64" x14ac:dyDescent="0.55000000000000004">
      <c r="A150" s="2"/>
      <c r="B150" s="2"/>
      <c r="C150" s="2"/>
      <c r="D150" s="2"/>
      <c r="P150" s="4"/>
      <c r="AD150" s="4"/>
      <c r="BA150" s="7"/>
      <c r="BC150" s="4"/>
      <c r="BH150" s="4"/>
      <c r="BI150" s="32"/>
      <c r="BJ150" s="33"/>
      <c r="BK150" s="2"/>
      <c r="BL150" s="2"/>
    </row>
    <row r="151" spans="1:64" x14ac:dyDescent="0.55000000000000004">
      <c r="A151" s="2"/>
      <c r="B151" s="2"/>
      <c r="C151" s="2"/>
      <c r="D151" s="2"/>
      <c r="P151" s="4"/>
      <c r="AD151" s="4"/>
      <c r="BA151" s="7"/>
      <c r="BC151" s="4"/>
      <c r="BH151" s="4"/>
      <c r="BI151" s="32"/>
      <c r="BJ151" s="33"/>
      <c r="BK151" s="2"/>
      <c r="BL151" s="2"/>
    </row>
    <row r="152" spans="1:64" x14ac:dyDescent="0.55000000000000004">
      <c r="A152" s="2"/>
      <c r="B152" s="2"/>
      <c r="C152" s="2"/>
      <c r="D152" s="2"/>
      <c r="P152" s="4"/>
      <c r="AD152" s="4"/>
      <c r="BA152" s="7"/>
      <c r="BC152" s="4"/>
      <c r="BH152" s="4"/>
      <c r="BI152" s="32"/>
      <c r="BJ152" s="33"/>
      <c r="BK152" s="2"/>
      <c r="BL152" s="2"/>
    </row>
    <row r="153" spans="1:64" x14ac:dyDescent="0.55000000000000004">
      <c r="A153" s="2"/>
      <c r="B153" s="2"/>
      <c r="C153" s="2"/>
      <c r="D153" s="2"/>
      <c r="P153" s="4"/>
      <c r="AD153" s="4"/>
      <c r="BA153" s="7"/>
      <c r="BC153" s="4"/>
      <c r="BH153" s="4"/>
      <c r="BI153" s="32"/>
      <c r="BJ153" s="33"/>
      <c r="BK153" s="2"/>
      <c r="BL153" s="2"/>
    </row>
    <row r="154" spans="1:64" x14ac:dyDescent="0.55000000000000004">
      <c r="A154" s="2"/>
      <c r="B154" s="2"/>
      <c r="C154" s="2"/>
      <c r="D154" s="2"/>
      <c r="P154" s="4"/>
      <c r="AD154" s="4"/>
      <c r="BA154" s="7"/>
      <c r="BC154" s="4"/>
      <c r="BH154" s="4"/>
      <c r="BI154" s="32"/>
      <c r="BJ154" s="33"/>
      <c r="BK154" s="2"/>
      <c r="BL154" s="2"/>
    </row>
    <row r="155" spans="1:64" x14ac:dyDescent="0.55000000000000004">
      <c r="A155" s="2"/>
      <c r="B155" s="2"/>
      <c r="C155" s="2"/>
      <c r="D155" s="2"/>
      <c r="P155" s="4"/>
      <c r="AD155" s="4"/>
      <c r="BA155" s="7"/>
      <c r="BC155" s="4"/>
      <c r="BH155" s="4"/>
      <c r="BI155" s="32"/>
      <c r="BJ155" s="33"/>
      <c r="BK155" s="2"/>
      <c r="BL155" s="2"/>
    </row>
    <row r="156" spans="1:64" x14ac:dyDescent="0.55000000000000004">
      <c r="A156" s="2"/>
      <c r="B156" s="2"/>
      <c r="C156" s="2"/>
      <c r="D156" s="2"/>
      <c r="P156" s="4"/>
      <c r="AD156" s="4"/>
      <c r="BA156" s="7"/>
      <c r="BC156" s="4"/>
      <c r="BH156" s="4"/>
      <c r="BI156" s="32"/>
      <c r="BJ156" s="33"/>
      <c r="BK156" s="2"/>
      <c r="BL156" s="2"/>
    </row>
    <row r="157" spans="1:64" x14ac:dyDescent="0.55000000000000004">
      <c r="A157" s="2"/>
      <c r="B157" s="2"/>
      <c r="C157" s="2"/>
      <c r="D157" s="2"/>
      <c r="P157" s="4"/>
      <c r="AD157" s="4"/>
      <c r="BA157" s="7"/>
      <c r="BC157" s="4"/>
      <c r="BH157" s="4"/>
      <c r="BI157" s="32"/>
      <c r="BJ157" s="33"/>
      <c r="BK157" s="2"/>
      <c r="BL157" s="2"/>
    </row>
    <row r="158" spans="1:64" x14ac:dyDescent="0.55000000000000004">
      <c r="A158" s="2"/>
      <c r="B158" s="2"/>
      <c r="C158" s="2"/>
      <c r="D158" s="2"/>
      <c r="P158" s="4"/>
      <c r="AD158" s="4"/>
      <c r="BA158" s="7"/>
      <c r="BC158" s="4"/>
      <c r="BH158" s="4"/>
      <c r="BI158" s="32"/>
      <c r="BJ158" s="33"/>
      <c r="BK158" s="2"/>
      <c r="BL158" s="2"/>
    </row>
    <row r="159" spans="1:64" x14ac:dyDescent="0.55000000000000004">
      <c r="A159" s="2"/>
      <c r="B159" s="2"/>
      <c r="C159" s="2"/>
      <c r="D159" s="2"/>
      <c r="P159" s="4"/>
      <c r="AD159" s="4"/>
      <c r="BA159" s="7"/>
      <c r="BC159" s="4"/>
      <c r="BH159" s="4"/>
      <c r="BI159" s="32"/>
      <c r="BJ159" s="33"/>
      <c r="BK159" s="2"/>
      <c r="BL159" s="2"/>
    </row>
    <row r="160" spans="1:64" x14ac:dyDescent="0.55000000000000004">
      <c r="A160" s="2"/>
      <c r="B160" s="2"/>
      <c r="C160" s="2"/>
      <c r="D160" s="2"/>
      <c r="P160" s="4"/>
      <c r="AD160" s="4"/>
      <c r="BA160" s="7"/>
      <c r="BC160" s="4"/>
      <c r="BH160" s="4"/>
      <c r="BI160" s="32"/>
      <c r="BJ160" s="33"/>
      <c r="BK160" s="2"/>
      <c r="BL160" s="2"/>
    </row>
    <row r="161" spans="1:64" x14ac:dyDescent="0.55000000000000004">
      <c r="A161" s="2"/>
      <c r="B161" s="2"/>
      <c r="C161" s="2"/>
      <c r="D161" s="2"/>
      <c r="P161" s="4"/>
      <c r="AD161" s="4"/>
      <c r="BA161" s="7"/>
      <c r="BC161" s="4"/>
      <c r="BH161" s="4"/>
      <c r="BI161" s="32"/>
      <c r="BJ161" s="33"/>
      <c r="BK161" s="2"/>
      <c r="BL161" s="2"/>
    </row>
    <row r="162" spans="1:64" x14ac:dyDescent="0.55000000000000004">
      <c r="A162" s="2"/>
      <c r="B162" s="2"/>
      <c r="C162" s="2"/>
      <c r="D162" s="2"/>
      <c r="P162" s="4"/>
      <c r="AD162" s="4"/>
      <c r="BA162" s="7"/>
      <c r="BC162" s="4"/>
      <c r="BH162" s="4"/>
      <c r="BI162" s="32"/>
      <c r="BJ162" s="33"/>
      <c r="BK162" s="2"/>
      <c r="BL162" s="2"/>
    </row>
    <row r="163" spans="1:64" x14ac:dyDescent="0.55000000000000004">
      <c r="A163" s="2"/>
      <c r="B163" s="2"/>
      <c r="C163" s="2"/>
      <c r="D163" s="2"/>
      <c r="P163" s="4"/>
      <c r="AD163" s="4"/>
      <c r="BA163" s="7"/>
      <c r="BC163" s="4"/>
      <c r="BH163" s="4"/>
      <c r="BI163" s="32"/>
      <c r="BJ163" s="33"/>
      <c r="BK163" s="2"/>
      <c r="BL163" s="2"/>
    </row>
    <row r="164" spans="1:64" x14ac:dyDescent="0.55000000000000004">
      <c r="A164" s="2"/>
      <c r="B164" s="2"/>
      <c r="C164" s="2"/>
      <c r="D164" s="2"/>
      <c r="P164" s="4"/>
      <c r="AD164" s="4"/>
      <c r="BA164" s="7"/>
      <c r="BC164" s="4"/>
      <c r="BH164" s="4"/>
      <c r="BI164" s="32"/>
      <c r="BJ164" s="33"/>
      <c r="BK164" s="2"/>
      <c r="BL164" s="2"/>
    </row>
    <row r="165" spans="1:64" x14ac:dyDescent="0.55000000000000004">
      <c r="A165" s="2"/>
      <c r="B165" s="2"/>
      <c r="C165" s="2"/>
      <c r="D165" s="2"/>
      <c r="P165" s="4"/>
      <c r="AD165" s="4"/>
      <c r="BA165" s="7"/>
      <c r="BC165" s="4"/>
      <c r="BH165" s="4"/>
      <c r="BI165" s="32"/>
      <c r="BJ165" s="33"/>
      <c r="BK165" s="2"/>
      <c r="BL165" s="2"/>
    </row>
    <row r="166" spans="1:64" x14ac:dyDescent="0.55000000000000004">
      <c r="A166" s="2"/>
      <c r="B166" s="2"/>
      <c r="C166" s="2"/>
      <c r="D166" s="2"/>
      <c r="P166" s="4"/>
      <c r="AD166" s="4"/>
      <c r="BA166" s="7"/>
      <c r="BC166" s="4"/>
      <c r="BH166" s="4"/>
      <c r="BI166" s="32"/>
      <c r="BJ166" s="33"/>
      <c r="BK166" s="2"/>
      <c r="BL166" s="2"/>
    </row>
    <row r="167" spans="1:64" x14ac:dyDescent="0.55000000000000004">
      <c r="A167" s="2"/>
      <c r="B167" s="2"/>
      <c r="C167" s="2"/>
      <c r="D167" s="2"/>
      <c r="P167" s="4"/>
      <c r="AD167" s="4"/>
      <c r="BA167" s="7"/>
      <c r="BC167" s="4"/>
      <c r="BH167" s="4"/>
      <c r="BI167" s="32"/>
      <c r="BJ167" s="33"/>
      <c r="BK167" s="2"/>
      <c r="BL167" s="2"/>
    </row>
    <row r="168" spans="1:64" x14ac:dyDescent="0.55000000000000004">
      <c r="A168" s="2"/>
      <c r="B168" s="2"/>
      <c r="C168" s="2"/>
      <c r="D168" s="2"/>
      <c r="P168" s="4"/>
      <c r="AD168" s="4"/>
      <c r="BA168" s="7"/>
      <c r="BC168" s="4"/>
      <c r="BH168" s="4"/>
      <c r="BI168" s="32"/>
      <c r="BJ168" s="33"/>
      <c r="BK168" s="2"/>
      <c r="BL168" s="2"/>
    </row>
    <row r="169" spans="1:64" x14ac:dyDescent="0.55000000000000004">
      <c r="A169" s="2"/>
      <c r="B169" s="2"/>
      <c r="C169" s="2"/>
      <c r="D169" s="2"/>
      <c r="P169" s="4"/>
      <c r="AD169" s="4"/>
      <c r="BA169" s="7"/>
      <c r="BC169" s="4"/>
      <c r="BH169" s="4"/>
      <c r="BI169" s="32"/>
      <c r="BJ169" s="33"/>
      <c r="BK169" s="2"/>
      <c r="BL169" s="2"/>
    </row>
    <row r="170" spans="1:64" x14ac:dyDescent="0.55000000000000004">
      <c r="A170" s="2"/>
      <c r="B170" s="2"/>
      <c r="C170" s="2"/>
      <c r="D170" s="2"/>
      <c r="P170" s="4"/>
      <c r="AD170" s="4"/>
      <c r="BA170" s="7"/>
      <c r="BC170" s="4"/>
      <c r="BH170" s="4"/>
      <c r="BI170" s="32"/>
      <c r="BJ170" s="33"/>
      <c r="BK170" s="2"/>
      <c r="BL170" s="2"/>
    </row>
    <row r="171" spans="1:64" x14ac:dyDescent="0.55000000000000004">
      <c r="A171" s="2"/>
      <c r="B171" s="2"/>
      <c r="C171" s="2"/>
      <c r="D171" s="2"/>
      <c r="P171" s="4"/>
      <c r="AD171" s="4"/>
      <c r="BA171" s="7"/>
      <c r="BC171" s="4"/>
      <c r="BH171" s="4"/>
      <c r="BI171" s="32"/>
      <c r="BJ171" s="33"/>
      <c r="BK171" s="2"/>
      <c r="BL171" s="2"/>
    </row>
    <row r="172" spans="1:64" x14ac:dyDescent="0.55000000000000004">
      <c r="A172" s="2"/>
      <c r="B172" s="2"/>
      <c r="C172" s="2"/>
      <c r="D172" s="2"/>
      <c r="P172" s="4"/>
      <c r="AD172" s="4"/>
      <c r="BA172" s="7"/>
      <c r="BC172" s="4"/>
      <c r="BH172" s="4"/>
      <c r="BI172" s="32"/>
      <c r="BJ172" s="33"/>
      <c r="BK172" s="2"/>
      <c r="BL172" s="2"/>
    </row>
    <row r="173" spans="1:64" x14ac:dyDescent="0.55000000000000004">
      <c r="A173" s="2"/>
      <c r="B173" s="2"/>
      <c r="C173" s="2"/>
      <c r="D173" s="2"/>
      <c r="P173" s="4"/>
      <c r="AD173" s="4"/>
      <c r="BA173" s="7"/>
      <c r="BC173" s="4"/>
      <c r="BH173" s="4"/>
      <c r="BI173" s="32"/>
      <c r="BJ173" s="33"/>
      <c r="BK173" s="2"/>
      <c r="BL173" s="2"/>
    </row>
    <row r="174" spans="1:64" x14ac:dyDescent="0.55000000000000004">
      <c r="A174" s="2"/>
      <c r="B174" s="2"/>
      <c r="C174" s="2"/>
      <c r="D174" s="2"/>
      <c r="P174" s="4"/>
      <c r="AD174" s="4"/>
      <c r="BA174" s="7"/>
      <c r="BC174" s="4"/>
      <c r="BH174" s="4"/>
      <c r="BI174" s="32"/>
      <c r="BJ174" s="33"/>
      <c r="BK174" s="2"/>
      <c r="BL174" s="2"/>
    </row>
    <row r="175" spans="1:64" x14ac:dyDescent="0.55000000000000004">
      <c r="A175" s="2"/>
      <c r="B175" s="2"/>
      <c r="C175" s="2"/>
      <c r="D175" s="2"/>
      <c r="P175" s="4"/>
      <c r="AD175" s="4"/>
      <c r="BA175" s="7"/>
      <c r="BC175" s="4"/>
      <c r="BH175" s="4"/>
      <c r="BI175" s="32"/>
      <c r="BJ175" s="33"/>
      <c r="BK175" s="2"/>
      <c r="BL175" s="2"/>
    </row>
    <row r="176" spans="1:64" x14ac:dyDescent="0.55000000000000004">
      <c r="A176" s="2"/>
      <c r="B176" s="2"/>
      <c r="C176" s="2"/>
      <c r="D176" s="2"/>
      <c r="P176" s="4"/>
      <c r="AD176" s="4"/>
      <c r="BA176" s="7"/>
      <c r="BC176" s="4"/>
      <c r="BH176" s="4"/>
      <c r="BI176" s="32"/>
      <c r="BJ176" s="33"/>
      <c r="BK176" s="2"/>
      <c r="BL176" s="2"/>
    </row>
    <row r="177" spans="1:64" x14ac:dyDescent="0.55000000000000004">
      <c r="A177" s="2"/>
      <c r="B177" s="2"/>
      <c r="C177" s="2"/>
      <c r="D177" s="2"/>
      <c r="P177" s="4"/>
      <c r="AD177" s="4"/>
      <c r="BA177" s="7"/>
      <c r="BC177" s="4"/>
      <c r="BH177" s="4"/>
      <c r="BI177" s="32"/>
      <c r="BJ177" s="33"/>
      <c r="BK177" s="2"/>
      <c r="BL177" s="2"/>
    </row>
    <row r="178" spans="1:64" x14ac:dyDescent="0.55000000000000004">
      <c r="A178" s="2"/>
      <c r="B178" s="2"/>
      <c r="C178" s="2"/>
      <c r="D178" s="2"/>
      <c r="P178" s="4"/>
      <c r="AD178" s="4"/>
      <c r="BA178" s="7"/>
      <c r="BC178" s="4"/>
      <c r="BH178" s="4"/>
      <c r="BI178" s="32"/>
      <c r="BJ178" s="33"/>
      <c r="BK178" s="2"/>
      <c r="BL178" s="2"/>
    </row>
    <row r="179" spans="1:64" x14ac:dyDescent="0.55000000000000004">
      <c r="A179" s="2"/>
      <c r="B179" s="2"/>
      <c r="C179" s="2"/>
      <c r="D179" s="2"/>
      <c r="P179" s="4"/>
      <c r="AD179" s="4"/>
      <c r="BA179" s="7"/>
      <c r="BC179" s="4"/>
      <c r="BH179" s="4"/>
      <c r="BI179" s="32"/>
      <c r="BJ179" s="33"/>
      <c r="BK179" s="2"/>
      <c r="BL179" s="2"/>
    </row>
    <row r="180" spans="1:64" x14ac:dyDescent="0.55000000000000004">
      <c r="A180" s="2"/>
      <c r="B180" s="2"/>
      <c r="C180" s="2"/>
      <c r="D180" s="2"/>
      <c r="P180" s="4"/>
      <c r="AD180" s="4"/>
      <c r="BA180" s="7"/>
      <c r="BC180" s="4"/>
      <c r="BH180" s="4"/>
      <c r="BI180" s="32"/>
      <c r="BJ180" s="33"/>
      <c r="BK180" s="2"/>
      <c r="BL180" s="2"/>
    </row>
    <row r="181" spans="1:64" x14ac:dyDescent="0.55000000000000004">
      <c r="A181" s="2"/>
      <c r="B181" s="2"/>
      <c r="C181" s="2"/>
      <c r="D181" s="2"/>
      <c r="P181" s="4"/>
      <c r="AD181" s="4"/>
      <c r="BA181" s="7"/>
      <c r="BC181" s="4"/>
      <c r="BH181" s="4"/>
      <c r="BI181" s="32"/>
      <c r="BJ181" s="33"/>
      <c r="BK181" s="2"/>
      <c r="BL181" s="2"/>
    </row>
    <row r="182" spans="1:64" x14ac:dyDescent="0.55000000000000004">
      <c r="A182" s="2"/>
      <c r="B182" s="2"/>
      <c r="C182" s="2"/>
      <c r="D182" s="2"/>
      <c r="P182" s="4"/>
      <c r="AD182" s="4"/>
      <c r="BA182" s="7"/>
      <c r="BC182" s="4"/>
      <c r="BH182" s="4"/>
      <c r="BI182" s="32"/>
      <c r="BJ182" s="33"/>
      <c r="BK182" s="2"/>
      <c r="BL182" s="2"/>
    </row>
    <row r="183" spans="1:64" x14ac:dyDescent="0.55000000000000004">
      <c r="A183" s="2"/>
      <c r="B183" s="2"/>
      <c r="C183" s="2"/>
      <c r="D183" s="2"/>
      <c r="P183" s="4"/>
      <c r="AD183" s="4"/>
      <c r="BA183" s="7"/>
      <c r="BC183" s="4"/>
      <c r="BH183" s="4"/>
      <c r="BI183" s="32"/>
      <c r="BJ183" s="33"/>
      <c r="BK183" s="2"/>
      <c r="BL183" s="2"/>
    </row>
    <row r="184" spans="1:64" x14ac:dyDescent="0.55000000000000004">
      <c r="A184" s="2"/>
      <c r="B184" s="2"/>
      <c r="C184" s="2"/>
      <c r="D184" s="2"/>
      <c r="P184" s="4"/>
      <c r="AD184" s="4"/>
      <c r="BA184" s="7"/>
      <c r="BC184" s="4"/>
      <c r="BH184" s="4"/>
      <c r="BI184" s="32"/>
      <c r="BJ184" s="33"/>
      <c r="BK184" s="2"/>
      <c r="BL184" s="2"/>
    </row>
    <row r="185" spans="1:64" x14ac:dyDescent="0.55000000000000004">
      <c r="A185" s="2"/>
      <c r="B185" s="2"/>
      <c r="C185" s="2"/>
      <c r="D185" s="2"/>
      <c r="P185" s="4"/>
      <c r="AD185" s="4"/>
      <c r="BA185" s="7"/>
      <c r="BC185" s="4"/>
      <c r="BH185" s="4"/>
      <c r="BI185" s="32"/>
      <c r="BJ185" s="33"/>
      <c r="BK185" s="2"/>
      <c r="BL185" s="2"/>
    </row>
    <row r="186" spans="1:64" x14ac:dyDescent="0.55000000000000004">
      <c r="A186" s="2"/>
      <c r="B186" s="2"/>
      <c r="C186" s="2"/>
      <c r="D186" s="2"/>
      <c r="P186" s="4"/>
      <c r="AD186" s="4"/>
      <c r="BA186" s="7"/>
      <c r="BC186" s="4"/>
      <c r="BH186" s="4"/>
      <c r="BI186" s="32"/>
      <c r="BJ186" s="33"/>
      <c r="BK186" s="2"/>
      <c r="BL186" s="2"/>
    </row>
    <row r="187" spans="1:64" x14ac:dyDescent="0.55000000000000004">
      <c r="A187" s="2"/>
      <c r="B187" s="2"/>
      <c r="C187" s="2"/>
      <c r="D187" s="2"/>
      <c r="P187" s="4"/>
      <c r="AD187" s="4"/>
      <c r="BA187" s="7"/>
      <c r="BC187" s="4"/>
      <c r="BH187" s="4"/>
      <c r="BI187" s="32"/>
      <c r="BJ187" s="33"/>
      <c r="BK187" s="2"/>
      <c r="BL187" s="2"/>
    </row>
    <row r="188" spans="1:64" x14ac:dyDescent="0.55000000000000004">
      <c r="A188" s="2"/>
      <c r="B188" s="2"/>
      <c r="C188" s="2"/>
      <c r="D188" s="2"/>
      <c r="P188" s="4"/>
      <c r="AD188" s="4"/>
      <c r="BA188" s="7"/>
      <c r="BC188" s="4"/>
      <c r="BH188" s="4"/>
      <c r="BI188" s="32"/>
      <c r="BJ188" s="33"/>
      <c r="BK188" s="2"/>
      <c r="BL188" s="2"/>
    </row>
    <row r="189" spans="1:64" x14ac:dyDescent="0.55000000000000004">
      <c r="A189" s="2"/>
      <c r="B189" s="2"/>
      <c r="C189" s="2"/>
      <c r="D189" s="2"/>
      <c r="P189" s="4"/>
      <c r="AD189" s="4"/>
      <c r="BA189" s="7"/>
      <c r="BC189" s="4"/>
      <c r="BH189" s="4"/>
      <c r="BI189" s="32"/>
      <c r="BJ189" s="33"/>
      <c r="BK189" s="2"/>
      <c r="BL189" s="2"/>
    </row>
    <row r="190" spans="1:64" x14ac:dyDescent="0.55000000000000004">
      <c r="A190" s="2"/>
      <c r="B190" s="2"/>
      <c r="C190" s="2"/>
      <c r="D190" s="2"/>
      <c r="P190" s="4"/>
      <c r="AD190" s="4"/>
      <c r="BA190" s="7"/>
      <c r="BC190" s="4"/>
      <c r="BH190" s="4"/>
      <c r="BI190" s="32"/>
      <c r="BJ190" s="33"/>
      <c r="BK190" s="2"/>
      <c r="BL190" s="2"/>
    </row>
    <row r="191" spans="1:64" x14ac:dyDescent="0.55000000000000004">
      <c r="A191" s="2"/>
      <c r="B191" s="2"/>
      <c r="C191" s="2"/>
      <c r="D191" s="2"/>
      <c r="P191" s="4"/>
      <c r="AD191" s="4"/>
      <c r="BA191" s="7"/>
      <c r="BC191" s="4"/>
      <c r="BH191" s="4"/>
      <c r="BI191" s="32"/>
      <c r="BJ191" s="33"/>
      <c r="BK191" s="2"/>
      <c r="BL191" s="2"/>
    </row>
    <row r="192" spans="1:64" x14ac:dyDescent="0.55000000000000004">
      <c r="A192" s="2"/>
      <c r="B192" s="2"/>
      <c r="C192" s="2"/>
      <c r="D192" s="2"/>
      <c r="P192" s="4"/>
      <c r="AD192" s="4"/>
      <c r="BA192" s="7"/>
      <c r="BC192" s="4"/>
      <c r="BH192" s="4"/>
      <c r="BI192" s="32"/>
      <c r="BJ192" s="33"/>
      <c r="BK192" s="2"/>
      <c r="BL192" s="2"/>
    </row>
    <row r="193" spans="1:64" x14ac:dyDescent="0.55000000000000004">
      <c r="A193" s="2"/>
      <c r="B193" s="2"/>
      <c r="C193" s="2"/>
      <c r="D193" s="2"/>
      <c r="P193" s="4"/>
      <c r="AD193" s="4"/>
      <c r="BA193" s="7"/>
      <c r="BC193" s="4"/>
      <c r="BH193" s="4"/>
      <c r="BI193" s="32"/>
      <c r="BJ193" s="33"/>
      <c r="BK193" s="2"/>
      <c r="BL193" s="2"/>
    </row>
    <row r="194" spans="1:64" x14ac:dyDescent="0.55000000000000004">
      <c r="A194" s="2"/>
      <c r="B194" s="2"/>
      <c r="C194" s="2"/>
      <c r="D194" s="2"/>
      <c r="P194" s="4"/>
      <c r="AD194" s="4"/>
      <c r="BA194" s="7"/>
      <c r="BC194" s="4"/>
      <c r="BH194" s="4"/>
      <c r="BI194" s="32"/>
      <c r="BJ194" s="33"/>
      <c r="BK194" s="2"/>
      <c r="BL194" s="2"/>
    </row>
    <row r="195" spans="1:64" x14ac:dyDescent="0.55000000000000004">
      <c r="A195" s="2"/>
      <c r="B195" s="2"/>
      <c r="C195" s="2"/>
      <c r="D195" s="2"/>
      <c r="P195" s="4"/>
      <c r="AD195" s="4"/>
      <c r="BA195" s="7"/>
      <c r="BC195" s="4"/>
      <c r="BH195" s="4"/>
      <c r="BI195" s="32"/>
      <c r="BJ195" s="33"/>
      <c r="BK195" s="2"/>
      <c r="BL195" s="2"/>
    </row>
    <row r="196" spans="1:64" x14ac:dyDescent="0.55000000000000004">
      <c r="A196" s="2"/>
      <c r="B196" s="2"/>
      <c r="C196" s="2"/>
      <c r="D196" s="2"/>
      <c r="P196" s="4"/>
      <c r="AD196" s="4"/>
      <c r="BA196" s="7"/>
      <c r="BC196" s="4"/>
      <c r="BH196" s="4"/>
      <c r="BI196" s="32"/>
      <c r="BJ196" s="33"/>
      <c r="BK196" s="2"/>
      <c r="BL196" s="2"/>
    </row>
    <row r="197" spans="1:64" x14ac:dyDescent="0.55000000000000004">
      <c r="A197" s="2"/>
      <c r="B197" s="2"/>
      <c r="C197" s="2"/>
      <c r="D197" s="2"/>
      <c r="P197" s="4"/>
      <c r="AD197" s="4"/>
      <c r="BA197" s="7"/>
      <c r="BC197" s="4"/>
      <c r="BH197" s="4"/>
      <c r="BI197" s="32"/>
      <c r="BJ197" s="33"/>
      <c r="BK197" s="2"/>
      <c r="BL197" s="2"/>
    </row>
    <row r="198" spans="1:64" x14ac:dyDescent="0.55000000000000004">
      <c r="A198" s="2"/>
      <c r="B198" s="2"/>
      <c r="C198" s="2"/>
      <c r="D198" s="2"/>
      <c r="P198" s="4"/>
      <c r="AD198" s="4"/>
      <c r="BA198" s="7"/>
      <c r="BC198" s="4"/>
      <c r="BH198" s="4"/>
      <c r="BI198" s="32"/>
      <c r="BJ198" s="33"/>
      <c r="BK198" s="2"/>
      <c r="BL198" s="2"/>
    </row>
    <row r="199" spans="1:64" x14ac:dyDescent="0.55000000000000004">
      <c r="A199" s="2"/>
      <c r="B199" s="2"/>
      <c r="C199" s="2"/>
      <c r="D199" s="2"/>
      <c r="P199" s="4"/>
      <c r="AD199" s="4"/>
      <c r="BA199" s="7"/>
      <c r="BC199" s="4"/>
      <c r="BH199" s="4"/>
      <c r="BI199" s="32"/>
      <c r="BJ199" s="33"/>
      <c r="BK199" s="2"/>
      <c r="BL199" s="2"/>
    </row>
    <row r="200" spans="1:64" x14ac:dyDescent="0.55000000000000004">
      <c r="A200" s="2"/>
      <c r="B200" s="2"/>
      <c r="C200" s="2"/>
      <c r="D200" s="2"/>
      <c r="P200" s="4"/>
      <c r="AD200" s="4"/>
      <c r="BA200" s="7"/>
      <c r="BC200" s="4"/>
      <c r="BH200" s="4"/>
      <c r="BI200" s="32"/>
      <c r="BJ200" s="33"/>
      <c r="BK200" s="2"/>
      <c r="BL200" s="2"/>
    </row>
    <row r="201" spans="1:64" x14ac:dyDescent="0.55000000000000004">
      <c r="A201" s="2"/>
      <c r="B201" s="2"/>
      <c r="C201" s="2"/>
      <c r="D201" s="2"/>
      <c r="P201" s="4"/>
      <c r="AD201" s="4"/>
      <c r="BA201" s="7"/>
      <c r="BC201" s="4"/>
      <c r="BH201" s="4"/>
      <c r="BI201" s="32"/>
      <c r="BJ201" s="33"/>
      <c r="BK201" s="2"/>
      <c r="BL201" s="2"/>
    </row>
    <row r="202" spans="1:64" x14ac:dyDescent="0.55000000000000004">
      <c r="A202" s="2"/>
      <c r="B202" s="2"/>
      <c r="C202" s="2"/>
      <c r="D202" s="2"/>
      <c r="P202" s="4"/>
      <c r="AD202" s="4"/>
      <c r="BA202" s="7"/>
      <c r="BC202" s="4"/>
      <c r="BH202" s="4"/>
      <c r="BI202" s="32"/>
      <c r="BJ202" s="33"/>
      <c r="BK202" s="2"/>
      <c r="BL202" s="2"/>
    </row>
    <row r="203" spans="1:64" x14ac:dyDescent="0.55000000000000004">
      <c r="A203" s="2"/>
      <c r="B203" s="2"/>
      <c r="C203" s="2"/>
      <c r="D203" s="2"/>
      <c r="P203" s="4"/>
      <c r="AD203" s="4"/>
      <c r="BA203" s="7"/>
      <c r="BC203" s="4"/>
      <c r="BH203" s="4"/>
      <c r="BI203" s="32"/>
      <c r="BJ203" s="33"/>
      <c r="BK203" s="2"/>
      <c r="BL203" s="2"/>
    </row>
    <row r="204" spans="1:64" x14ac:dyDescent="0.55000000000000004">
      <c r="A204" s="2"/>
      <c r="B204" s="2"/>
      <c r="C204" s="2"/>
      <c r="D204" s="2"/>
      <c r="P204" s="4"/>
      <c r="AD204" s="4"/>
      <c r="BA204" s="7"/>
      <c r="BC204" s="4"/>
      <c r="BH204" s="4"/>
      <c r="BI204" s="32"/>
      <c r="BJ204" s="33"/>
      <c r="BK204" s="2"/>
      <c r="BL204" s="2"/>
    </row>
    <row r="205" spans="1:64" x14ac:dyDescent="0.55000000000000004">
      <c r="A205" s="2"/>
      <c r="B205" s="2"/>
      <c r="C205" s="2"/>
      <c r="D205" s="2"/>
      <c r="P205" s="4"/>
      <c r="AD205" s="4"/>
      <c r="BA205" s="7"/>
      <c r="BC205" s="4"/>
      <c r="BH205" s="4"/>
      <c r="BI205" s="32"/>
      <c r="BJ205" s="33"/>
      <c r="BK205" s="2"/>
      <c r="BL205" s="2"/>
    </row>
    <row r="206" spans="1:64" x14ac:dyDescent="0.55000000000000004">
      <c r="A206" s="2"/>
      <c r="B206" s="2"/>
      <c r="C206" s="2"/>
      <c r="D206" s="2"/>
      <c r="P206" s="4"/>
      <c r="AD206" s="4"/>
      <c r="BA206" s="7"/>
      <c r="BC206" s="4"/>
      <c r="BH206" s="4"/>
      <c r="BI206" s="32"/>
      <c r="BJ206" s="33"/>
      <c r="BK206" s="2"/>
      <c r="BL206" s="2"/>
    </row>
    <row r="207" spans="1:64" x14ac:dyDescent="0.55000000000000004">
      <c r="A207" s="2"/>
      <c r="B207" s="2"/>
      <c r="C207" s="2"/>
      <c r="D207" s="2"/>
      <c r="P207" s="4"/>
      <c r="AD207" s="4"/>
      <c r="BA207" s="7"/>
      <c r="BC207" s="4"/>
      <c r="BH207" s="4"/>
      <c r="BI207" s="32"/>
      <c r="BJ207" s="33"/>
      <c r="BK207" s="2"/>
      <c r="BL207" s="2"/>
    </row>
    <row r="208" spans="1:64" x14ac:dyDescent="0.55000000000000004">
      <c r="A208" s="2"/>
      <c r="B208" s="2"/>
      <c r="C208" s="2"/>
      <c r="D208" s="2"/>
      <c r="P208" s="4"/>
      <c r="AD208" s="4"/>
      <c r="BA208" s="7"/>
      <c r="BC208" s="4"/>
      <c r="BH208" s="4"/>
      <c r="BI208" s="32"/>
      <c r="BJ208" s="33"/>
      <c r="BK208" s="2"/>
      <c r="BL208" s="2"/>
    </row>
    <row r="209" spans="1:64" x14ac:dyDescent="0.55000000000000004">
      <c r="A209" s="2"/>
      <c r="B209" s="2"/>
      <c r="C209" s="2"/>
      <c r="D209" s="2"/>
      <c r="P209" s="4"/>
      <c r="AD209" s="4"/>
      <c r="BA209" s="7"/>
      <c r="BC209" s="4"/>
      <c r="BH209" s="4"/>
      <c r="BI209" s="32"/>
      <c r="BJ209" s="33"/>
      <c r="BK209" s="2"/>
      <c r="BL209" s="2"/>
    </row>
    <row r="210" spans="1:64" x14ac:dyDescent="0.55000000000000004">
      <c r="A210" s="2"/>
      <c r="B210" s="2"/>
      <c r="C210" s="2"/>
      <c r="D210" s="2"/>
      <c r="P210" s="4"/>
      <c r="AD210" s="4"/>
      <c r="BA210" s="7"/>
      <c r="BC210" s="4"/>
      <c r="BH210" s="4"/>
      <c r="BI210" s="32"/>
      <c r="BJ210" s="33"/>
      <c r="BK210" s="2"/>
      <c r="BL210" s="2"/>
    </row>
    <row r="211" spans="1:64" x14ac:dyDescent="0.55000000000000004">
      <c r="A211" s="2"/>
      <c r="B211" s="2"/>
      <c r="C211" s="2"/>
      <c r="D211" s="2"/>
      <c r="P211" s="4"/>
      <c r="AD211" s="4"/>
      <c r="BA211" s="7"/>
      <c r="BC211" s="4"/>
      <c r="BH211" s="4"/>
      <c r="BI211" s="32"/>
      <c r="BJ211" s="33"/>
      <c r="BK211" s="2"/>
      <c r="BL211" s="2"/>
    </row>
    <row r="212" spans="1:64" x14ac:dyDescent="0.55000000000000004">
      <c r="A212" s="2"/>
      <c r="B212" s="2"/>
      <c r="C212" s="2"/>
      <c r="D212" s="2"/>
      <c r="P212" s="4"/>
      <c r="AD212" s="4"/>
      <c r="BA212" s="7"/>
      <c r="BC212" s="4"/>
      <c r="BH212" s="4"/>
      <c r="BI212" s="32"/>
      <c r="BJ212" s="33"/>
      <c r="BK212" s="2"/>
      <c r="BL212" s="2"/>
    </row>
    <row r="213" spans="1:64" x14ac:dyDescent="0.55000000000000004">
      <c r="A213" s="2"/>
      <c r="B213" s="2"/>
      <c r="C213" s="2"/>
      <c r="D213" s="2"/>
      <c r="P213" s="4"/>
      <c r="AD213" s="4"/>
      <c r="BA213" s="7"/>
      <c r="BC213" s="4"/>
      <c r="BH213" s="4"/>
      <c r="BI213" s="32"/>
      <c r="BJ213" s="33"/>
      <c r="BK213" s="2"/>
      <c r="BL213" s="2"/>
    </row>
    <row r="214" spans="1:64" x14ac:dyDescent="0.55000000000000004">
      <c r="A214" s="2"/>
      <c r="B214" s="2"/>
      <c r="C214" s="2"/>
      <c r="D214" s="2"/>
      <c r="P214" s="4"/>
      <c r="AD214" s="4"/>
      <c r="BA214" s="7"/>
      <c r="BC214" s="4"/>
      <c r="BH214" s="4"/>
      <c r="BI214" s="32"/>
      <c r="BJ214" s="33"/>
      <c r="BK214" s="2"/>
      <c r="BL214" s="2"/>
    </row>
    <row r="215" spans="1:64" x14ac:dyDescent="0.55000000000000004">
      <c r="A215" s="2"/>
      <c r="B215" s="2"/>
      <c r="C215" s="2"/>
      <c r="D215" s="2"/>
      <c r="P215" s="4"/>
      <c r="AD215" s="4"/>
      <c r="BA215" s="7"/>
      <c r="BC215" s="4"/>
      <c r="BH215" s="4"/>
      <c r="BI215" s="32"/>
      <c r="BJ215" s="33"/>
      <c r="BK215" s="2"/>
      <c r="BL215" s="2"/>
    </row>
    <row r="216" spans="1:64" x14ac:dyDescent="0.55000000000000004">
      <c r="A216" s="2"/>
      <c r="B216" s="2"/>
      <c r="C216" s="2"/>
      <c r="D216" s="2"/>
      <c r="P216" s="4"/>
      <c r="AD216" s="4"/>
      <c r="BA216" s="7"/>
      <c r="BC216" s="4"/>
      <c r="BH216" s="4"/>
      <c r="BI216" s="32"/>
      <c r="BJ216" s="33"/>
      <c r="BK216" s="2"/>
      <c r="BL216" s="2"/>
    </row>
    <row r="217" spans="1:64" x14ac:dyDescent="0.55000000000000004">
      <c r="A217" s="2"/>
      <c r="B217" s="2"/>
      <c r="C217" s="2"/>
      <c r="D217" s="2"/>
      <c r="P217" s="4"/>
      <c r="AD217" s="4"/>
      <c r="BA217" s="7"/>
      <c r="BC217" s="4"/>
      <c r="BH217" s="4"/>
      <c r="BI217" s="32"/>
      <c r="BJ217" s="33"/>
      <c r="BK217" s="2"/>
      <c r="BL217" s="2"/>
    </row>
    <row r="218" spans="1:64" x14ac:dyDescent="0.55000000000000004">
      <c r="A218" s="2"/>
      <c r="B218" s="2"/>
      <c r="C218" s="2"/>
      <c r="D218" s="2"/>
      <c r="P218" s="4"/>
      <c r="AD218" s="4"/>
      <c r="BA218" s="7"/>
      <c r="BC218" s="4"/>
      <c r="BH218" s="4"/>
      <c r="BI218" s="32"/>
      <c r="BJ218" s="33"/>
      <c r="BK218" s="2"/>
      <c r="BL218" s="2"/>
    </row>
    <row r="219" spans="1:64" x14ac:dyDescent="0.55000000000000004">
      <c r="A219" s="2"/>
      <c r="B219" s="2"/>
      <c r="C219" s="2"/>
      <c r="D219" s="2"/>
      <c r="P219" s="4"/>
      <c r="AD219" s="4"/>
      <c r="BA219" s="7"/>
      <c r="BC219" s="4"/>
      <c r="BH219" s="4"/>
      <c r="BI219" s="32"/>
      <c r="BJ219" s="33"/>
      <c r="BK219" s="2"/>
      <c r="BL219" s="2"/>
    </row>
    <row r="220" spans="1:64" x14ac:dyDescent="0.55000000000000004">
      <c r="A220" s="2"/>
      <c r="B220" s="2"/>
      <c r="C220" s="2"/>
      <c r="D220" s="2"/>
      <c r="P220" s="4"/>
      <c r="AD220" s="4"/>
      <c r="BA220" s="7"/>
      <c r="BC220" s="4"/>
      <c r="BH220" s="4"/>
      <c r="BI220" s="32"/>
      <c r="BJ220" s="33"/>
      <c r="BK220" s="2"/>
      <c r="BL220" s="2"/>
    </row>
    <row r="221" spans="1:64" x14ac:dyDescent="0.55000000000000004">
      <c r="A221" s="2"/>
      <c r="B221" s="2"/>
      <c r="C221" s="2"/>
      <c r="D221" s="2"/>
      <c r="P221" s="4"/>
      <c r="AD221" s="4"/>
      <c r="BA221" s="7"/>
      <c r="BC221" s="4"/>
      <c r="BH221" s="4"/>
      <c r="BI221" s="32"/>
      <c r="BJ221" s="33"/>
      <c r="BK221" s="2"/>
      <c r="BL221" s="2"/>
    </row>
    <row r="222" spans="1:64" x14ac:dyDescent="0.55000000000000004">
      <c r="A222" s="2"/>
      <c r="B222" s="2"/>
      <c r="C222" s="2"/>
      <c r="D222" s="2"/>
      <c r="P222" s="4"/>
      <c r="AD222" s="4"/>
      <c r="BA222" s="7"/>
      <c r="BC222" s="4"/>
      <c r="BH222" s="4"/>
      <c r="BI222" s="32"/>
      <c r="BJ222" s="33"/>
      <c r="BK222" s="2"/>
      <c r="BL222" s="2"/>
    </row>
    <row r="223" spans="1:64" x14ac:dyDescent="0.55000000000000004">
      <c r="A223" s="2"/>
      <c r="B223" s="2"/>
      <c r="C223" s="2"/>
      <c r="D223" s="2"/>
      <c r="P223" s="4"/>
      <c r="AD223" s="4"/>
      <c r="BA223" s="7"/>
      <c r="BC223" s="4"/>
      <c r="BH223" s="4"/>
      <c r="BI223" s="32"/>
      <c r="BJ223" s="33"/>
      <c r="BK223" s="2"/>
      <c r="BL223" s="2"/>
    </row>
    <row r="224" spans="1:64" x14ac:dyDescent="0.55000000000000004">
      <c r="A224" s="2"/>
      <c r="B224" s="2"/>
      <c r="C224" s="2"/>
      <c r="D224" s="2"/>
      <c r="P224" s="4"/>
      <c r="AD224" s="4"/>
      <c r="BA224" s="7"/>
      <c r="BC224" s="4"/>
      <c r="BH224" s="4"/>
      <c r="BI224" s="32"/>
      <c r="BJ224" s="33"/>
      <c r="BK224" s="2"/>
      <c r="BL224" s="2"/>
    </row>
    <row r="225" spans="1:64" x14ac:dyDescent="0.55000000000000004">
      <c r="A225" s="2"/>
      <c r="B225" s="2"/>
      <c r="C225" s="2"/>
      <c r="D225" s="2"/>
      <c r="P225" s="4"/>
      <c r="AD225" s="4"/>
      <c r="BA225" s="7"/>
      <c r="BC225" s="4"/>
      <c r="BH225" s="4"/>
      <c r="BI225" s="32"/>
      <c r="BJ225" s="33"/>
      <c r="BK225" s="2"/>
      <c r="BL225" s="2"/>
    </row>
    <row r="226" spans="1:64" x14ac:dyDescent="0.55000000000000004">
      <c r="A226" s="2"/>
      <c r="B226" s="2"/>
      <c r="C226" s="2"/>
      <c r="D226" s="2"/>
      <c r="P226" s="4"/>
      <c r="AD226" s="4"/>
      <c r="BA226" s="7"/>
      <c r="BC226" s="4"/>
      <c r="BH226" s="4"/>
      <c r="BI226" s="32"/>
      <c r="BJ226" s="33"/>
      <c r="BK226" s="2"/>
      <c r="BL226" s="2"/>
    </row>
    <row r="227" spans="1:64" x14ac:dyDescent="0.55000000000000004">
      <c r="A227" s="2"/>
      <c r="B227" s="2"/>
      <c r="C227" s="2"/>
      <c r="D227" s="2"/>
      <c r="P227" s="4"/>
      <c r="AD227" s="4"/>
      <c r="BA227" s="7"/>
      <c r="BC227" s="4"/>
      <c r="BH227" s="4"/>
      <c r="BI227" s="32"/>
      <c r="BJ227" s="33"/>
      <c r="BK227" s="2"/>
      <c r="BL227" s="2"/>
    </row>
    <row r="228" spans="1:64" x14ac:dyDescent="0.55000000000000004">
      <c r="A228" s="2"/>
      <c r="B228" s="2"/>
      <c r="C228" s="2"/>
      <c r="D228" s="2"/>
      <c r="P228" s="4"/>
      <c r="AD228" s="4"/>
      <c r="BA228" s="7"/>
      <c r="BC228" s="4"/>
      <c r="BH228" s="4"/>
      <c r="BI228" s="32"/>
      <c r="BJ228" s="33"/>
      <c r="BK228" s="2"/>
      <c r="BL228" s="2"/>
    </row>
    <row r="229" spans="1:64" x14ac:dyDescent="0.55000000000000004">
      <c r="A229" s="2"/>
      <c r="B229" s="2"/>
      <c r="C229" s="2"/>
      <c r="D229" s="2"/>
      <c r="P229" s="4"/>
      <c r="AD229" s="4"/>
      <c r="BA229" s="7"/>
      <c r="BC229" s="4"/>
      <c r="BH229" s="4"/>
      <c r="BI229" s="32"/>
      <c r="BJ229" s="33"/>
      <c r="BK229" s="2"/>
      <c r="BL229" s="2"/>
    </row>
    <row r="230" spans="1:64" x14ac:dyDescent="0.55000000000000004">
      <c r="A230" s="2"/>
      <c r="B230" s="2"/>
      <c r="C230" s="2"/>
      <c r="D230" s="2"/>
      <c r="P230" s="4"/>
      <c r="AD230" s="4"/>
      <c r="BA230" s="7"/>
      <c r="BC230" s="4"/>
      <c r="BH230" s="4"/>
      <c r="BI230" s="32"/>
      <c r="BJ230" s="33"/>
      <c r="BK230" s="2"/>
      <c r="BL230" s="2"/>
    </row>
    <row r="231" spans="1:64" x14ac:dyDescent="0.55000000000000004">
      <c r="A231" s="2"/>
      <c r="B231" s="2"/>
      <c r="C231" s="2"/>
      <c r="D231" s="2"/>
      <c r="P231" s="4"/>
      <c r="AD231" s="4"/>
      <c r="BA231" s="7"/>
      <c r="BC231" s="4"/>
      <c r="BH231" s="4"/>
      <c r="BI231" s="32"/>
      <c r="BJ231" s="33"/>
      <c r="BK231" s="2"/>
      <c r="BL231" s="2"/>
    </row>
    <row r="232" spans="1:64" x14ac:dyDescent="0.55000000000000004">
      <c r="A232" s="2"/>
      <c r="B232" s="2"/>
      <c r="C232" s="2"/>
      <c r="D232" s="2"/>
      <c r="P232" s="4"/>
      <c r="AD232" s="4"/>
      <c r="BA232" s="7"/>
      <c r="BC232" s="4"/>
      <c r="BH232" s="4"/>
      <c r="BI232" s="32"/>
      <c r="BJ232" s="33"/>
      <c r="BK232" s="2"/>
      <c r="BL232" s="2"/>
    </row>
    <row r="233" spans="1:64" x14ac:dyDescent="0.55000000000000004">
      <c r="A233" s="2"/>
      <c r="B233" s="2"/>
      <c r="C233" s="2"/>
      <c r="D233" s="2"/>
      <c r="P233" s="4"/>
      <c r="AD233" s="4"/>
      <c r="BA233" s="7"/>
      <c r="BC233" s="4"/>
      <c r="BH233" s="4"/>
      <c r="BI233" s="32"/>
      <c r="BJ233" s="33"/>
      <c r="BK233" s="2"/>
      <c r="BL233" s="2"/>
    </row>
    <row r="234" spans="1:64" x14ac:dyDescent="0.55000000000000004">
      <c r="A234" s="2"/>
      <c r="B234" s="2"/>
      <c r="C234" s="2"/>
      <c r="D234" s="2"/>
      <c r="P234" s="4"/>
      <c r="AD234" s="4"/>
      <c r="BA234" s="7"/>
      <c r="BC234" s="4"/>
      <c r="BH234" s="4"/>
      <c r="BI234" s="32"/>
      <c r="BJ234" s="33"/>
      <c r="BK234" s="2"/>
      <c r="BL234" s="2"/>
    </row>
    <row r="235" spans="1:64" x14ac:dyDescent="0.55000000000000004">
      <c r="A235" s="2"/>
      <c r="B235" s="2"/>
      <c r="C235" s="2"/>
      <c r="D235" s="2"/>
      <c r="P235" s="4"/>
      <c r="AD235" s="4"/>
      <c r="BA235" s="7"/>
      <c r="BC235" s="4"/>
      <c r="BH235" s="4"/>
      <c r="BI235" s="32"/>
      <c r="BJ235" s="33"/>
      <c r="BK235" s="2"/>
      <c r="BL235" s="2"/>
    </row>
    <row r="236" spans="1:64" x14ac:dyDescent="0.55000000000000004">
      <c r="A236" s="2"/>
      <c r="B236" s="2"/>
      <c r="C236" s="2"/>
      <c r="D236" s="2"/>
      <c r="P236" s="4"/>
      <c r="AD236" s="4"/>
      <c r="BA236" s="7"/>
      <c r="BC236" s="4"/>
      <c r="BH236" s="4"/>
      <c r="BI236" s="32"/>
      <c r="BJ236" s="33"/>
      <c r="BK236" s="2"/>
      <c r="BL236" s="2"/>
    </row>
    <row r="237" spans="1:64" x14ac:dyDescent="0.55000000000000004">
      <c r="A237" s="2"/>
      <c r="B237" s="2"/>
      <c r="C237" s="2"/>
      <c r="D237" s="2"/>
      <c r="P237" s="4"/>
      <c r="AD237" s="4"/>
      <c r="BA237" s="7"/>
      <c r="BC237" s="4"/>
      <c r="BH237" s="4"/>
      <c r="BI237" s="32"/>
      <c r="BJ237" s="33"/>
      <c r="BK237" s="2"/>
      <c r="BL237" s="2"/>
    </row>
    <row r="238" spans="1:64" x14ac:dyDescent="0.55000000000000004">
      <c r="A238" s="2"/>
      <c r="B238" s="2"/>
      <c r="C238" s="2"/>
      <c r="D238" s="2"/>
      <c r="P238" s="4"/>
      <c r="AD238" s="4"/>
      <c r="BA238" s="7"/>
      <c r="BC238" s="4"/>
      <c r="BH238" s="4"/>
      <c r="BI238" s="32"/>
      <c r="BJ238" s="33"/>
      <c r="BK238" s="2"/>
      <c r="BL238" s="2"/>
    </row>
    <row r="239" spans="1:64" x14ac:dyDescent="0.55000000000000004">
      <c r="A239" s="2"/>
      <c r="B239" s="2"/>
      <c r="C239" s="2"/>
      <c r="D239" s="2"/>
      <c r="P239" s="4"/>
      <c r="AD239" s="4"/>
      <c r="BA239" s="7"/>
      <c r="BC239" s="4"/>
      <c r="BH239" s="4"/>
      <c r="BI239" s="32"/>
      <c r="BJ239" s="33"/>
      <c r="BK239" s="2"/>
      <c r="BL239" s="2"/>
    </row>
    <row r="240" spans="1:64" x14ac:dyDescent="0.55000000000000004">
      <c r="A240" s="2"/>
      <c r="B240" s="2"/>
      <c r="C240" s="2"/>
      <c r="D240" s="2"/>
      <c r="P240" s="4"/>
      <c r="AD240" s="4"/>
      <c r="BA240" s="7"/>
      <c r="BC240" s="4"/>
      <c r="BH240" s="4"/>
      <c r="BI240" s="32"/>
      <c r="BJ240" s="33"/>
      <c r="BK240" s="2"/>
      <c r="BL240" s="2"/>
    </row>
    <row r="241" spans="1:64" x14ac:dyDescent="0.55000000000000004">
      <c r="A241" s="2"/>
      <c r="B241" s="2"/>
      <c r="C241" s="2"/>
      <c r="D241" s="2"/>
      <c r="P241" s="4"/>
      <c r="AD241" s="4"/>
      <c r="BA241" s="7"/>
      <c r="BC241" s="4"/>
      <c r="BH241" s="4"/>
      <c r="BI241" s="32"/>
      <c r="BJ241" s="33"/>
      <c r="BK241" s="2"/>
      <c r="BL241" s="2"/>
    </row>
    <row r="242" spans="1:64" x14ac:dyDescent="0.55000000000000004">
      <c r="A242" s="2"/>
      <c r="B242" s="2"/>
      <c r="C242" s="2"/>
      <c r="D242" s="2"/>
      <c r="P242" s="4"/>
      <c r="AD242" s="4"/>
      <c r="BA242" s="7"/>
      <c r="BC242" s="4"/>
      <c r="BH242" s="4"/>
      <c r="BI242" s="32"/>
      <c r="BJ242" s="33"/>
      <c r="BK242" s="2"/>
      <c r="BL242" s="2"/>
    </row>
    <row r="243" spans="1:64" x14ac:dyDescent="0.55000000000000004">
      <c r="A243" s="2"/>
      <c r="B243" s="2"/>
      <c r="C243" s="2"/>
      <c r="D243" s="2"/>
      <c r="P243" s="4"/>
      <c r="AD243" s="4"/>
      <c r="BA243" s="7"/>
      <c r="BC243" s="4"/>
      <c r="BH243" s="4"/>
      <c r="BI243" s="32"/>
      <c r="BJ243" s="33"/>
      <c r="BK243" s="2"/>
      <c r="BL243" s="2"/>
    </row>
    <row r="244" spans="1:64" x14ac:dyDescent="0.55000000000000004">
      <c r="A244" s="2"/>
      <c r="B244" s="2"/>
      <c r="C244" s="2"/>
      <c r="D244" s="2"/>
      <c r="P244" s="4"/>
      <c r="AD244" s="4"/>
      <c r="BA244" s="7"/>
      <c r="BC244" s="4"/>
      <c r="BH244" s="4"/>
      <c r="BI244" s="32"/>
      <c r="BJ244" s="33"/>
      <c r="BK244" s="2"/>
      <c r="BL244" s="2"/>
    </row>
    <row r="245" spans="1:64" x14ac:dyDescent="0.55000000000000004">
      <c r="A245" s="2"/>
      <c r="B245" s="2"/>
      <c r="C245" s="2"/>
      <c r="D245" s="2"/>
      <c r="P245" s="4"/>
      <c r="AD245" s="4"/>
      <c r="BA245" s="7"/>
      <c r="BC245" s="4"/>
      <c r="BH245" s="4"/>
      <c r="BI245" s="32"/>
      <c r="BJ245" s="33"/>
      <c r="BK245" s="2"/>
      <c r="BL245" s="2"/>
    </row>
    <row r="246" spans="1:64" x14ac:dyDescent="0.55000000000000004">
      <c r="A246" s="2"/>
      <c r="B246" s="2"/>
      <c r="C246" s="2"/>
      <c r="D246" s="2"/>
      <c r="P246" s="4"/>
      <c r="AD246" s="4"/>
      <c r="BA246" s="7"/>
      <c r="BC246" s="4"/>
      <c r="BH246" s="4"/>
      <c r="BI246" s="32"/>
      <c r="BJ246" s="33"/>
      <c r="BK246" s="2"/>
      <c r="BL246" s="2"/>
    </row>
    <row r="247" spans="1:64" x14ac:dyDescent="0.55000000000000004">
      <c r="A247" s="2"/>
      <c r="B247" s="2"/>
      <c r="C247" s="2"/>
      <c r="D247" s="2"/>
      <c r="P247" s="4"/>
      <c r="AD247" s="4"/>
      <c r="BA247" s="7"/>
      <c r="BC247" s="4"/>
      <c r="BH247" s="4"/>
      <c r="BI247" s="32"/>
      <c r="BJ247" s="33"/>
      <c r="BK247" s="2"/>
      <c r="BL247" s="2"/>
    </row>
    <row r="248" spans="1:64" x14ac:dyDescent="0.55000000000000004">
      <c r="A248" s="2"/>
      <c r="B248" s="2"/>
      <c r="C248" s="2"/>
      <c r="D248" s="2"/>
      <c r="P248" s="4"/>
      <c r="AD248" s="4"/>
      <c r="BA248" s="7"/>
      <c r="BC248" s="4"/>
      <c r="BH248" s="4"/>
      <c r="BI248" s="32"/>
      <c r="BJ248" s="33"/>
      <c r="BK248" s="2"/>
      <c r="BL248" s="2"/>
    </row>
    <row r="249" spans="1:64" x14ac:dyDescent="0.55000000000000004">
      <c r="A249" s="2"/>
      <c r="B249" s="2"/>
      <c r="C249" s="2"/>
      <c r="D249" s="2"/>
      <c r="P249" s="4"/>
      <c r="AD249" s="4"/>
      <c r="BA249" s="7"/>
      <c r="BC249" s="4"/>
      <c r="BH249" s="4"/>
      <c r="BI249" s="32"/>
      <c r="BJ249" s="33"/>
      <c r="BK249" s="2"/>
      <c r="BL249" s="2"/>
    </row>
    <row r="250" spans="1:64" x14ac:dyDescent="0.55000000000000004">
      <c r="A250" s="2"/>
      <c r="B250" s="2"/>
      <c r="C250" s="2"/>
      <c r="D250" s="2"/>
      <c r="P250" s="4"/>
      <c r="AD250" s="4"/>
      <c r="BA250" s="7"/>
      <c r="BC250" s="4"/>
      <c r="BH250" s="4"/>
      <c r="BI250" s="32"/>
      <c r="BJ250" s="33"/>
      <c r="BK250" s="2"/>
      <c r="BL250" s="2"/>
    </row>
    <row r="251" spans="1:64" x14ac:dyDescent="0.55000000000000004">
      <c r="A251" s="2"/>
      <c r="B251" s="2"/>
      <c r="C251" s="2"/>
      <c r="D251" s="2"/>
      <c r="P251" s="4"/>
      <c r="AD251" s="4"/>
      <c r="BA251" s="7"/>
      <c r="BC251" s="4"/>
      <c r="BH251" s="4"/>
      <c r="BI251" s="32"/>
      <c r="BJ251" s="33"/>
      <c r="BK251" s="2"/>
      <c r="BL251" s="2"/>
    </row>
    <row r="252" spans="1:64" x14ac:dyDescent="0.55000000000000004">
      <c r="A252" s="2"/>
      <c r="B252" s="2"/>
      <c r="C252" s="2"/>
      <c r="D252" s="2"/>
      <c r="P252" s="4"/>
      <c r="AD252" s="4"/>
      <c r="BA252" s="7"/>
      <c r="BC252" s="4"/>
      <c r="BH252" s="4"/>
      <c r="BI252" s="32"/>
      <c r="BJ252" s="33"/>
      <c r="BK252" s="2"/>
      <c r="BL252" s="2"/>
    </row>
    <row r="253" spans="1:64" x14ac:dyDescent="0.55000000000000004">
      <c r="A253" s="2"/>
      <c r="B253" s="2"/>
      <c r="C253" s="2"/>
      <c r="D253" s="2"/>
      <c r="P253" s="4"/>
      <c r="AD253" s="4"/>
      <c r="BA253" s="7"/>
      <c r="BC253" s="4"/>
      <c r="BH253" s="4"/>
      <c r="BI253" s="32"/>
      <c r="BJ253" s="33"/>
      <c r="BK253" s="2"/>
      <c r="BL253" s="2"/>
    </row>
    <row r="254" spans="1:64" x14ac:dyDescent="0.55000000000000004">
      <c r="A254" s="2"/>
      <c r="B254" s="2"/>
      <c r="C254" s="2"/>
      <c r="D254" s="2"/>
      <c r="P254" s="4"/>
      <c r="AD254" s="4"/>
      <c r="BA254" s="7"/>
      <c r="BC254" s="4"/>
      <c r="BH254" s="4"/>
      <c r="BI254" s="32"/>
      <c r="BJ254" s="33"/>
      <c r="BK254" s="2"/>
      <c r="BL254" s="2"/>
    </row>
    <row r="255" spans="1:64" x14ac:dyDescent="0.55000000000000004">
      <c r="A255" s="2"/>
      <c r="B255" s="2"/>
      <c r="C255" s="2"/>
      <c r="D255" s="2"/>
      <c r="P255" s="4"/>
      <c r="AD255" s="4"/>
      <c r="BA255" s="7"/>
      <c r="BC255" s="4"/>
      <c r="BH255" s="4"/>
      <c r="BI255" s="32"/>
      <c r="BJ255" s="33"/>
      <c r="BK255" s="2"/>
      <c r="BL255" s="2"/>
    </row>
    <row r="256" spans="1:64" x14ac:dyDescent="0.55000000000000004">
      <c r="A256" s="2"/>
      <c r="B256" s="2"/>
      <c r="C256" s="2"/>
      <c r="D256" s="2"/>
      <c r="P256" s="4"/>
      <c r="AD256" s="4"/>
      <c r="BA256" s="7"/>
      <c r="BC256" s="4"/>
      <c r="BH256" s="4"/>
      <c r="BI256" s="32"/>
      <c r="BJ256" s="33"/>
      <c r="BK256" s="2"/>
      <c r="BL256" s="2"/>
    </row>
    <row r="257" spans="1:64" x14ac:dyDescent="0.55000000000000004">
      <c r="A257" s="2"/>
      <c r="B257" s="2"/>
      <c r="C257" s="2"/>
      <c r="D257" s="2"/>
      <c r="P257" s="4"/>
      <c r="AD257" s="4"/>
      <c r="BA257" s="7"/>
      <c r="BC257" s="4"/>
      <c r="BH257" s="4"/>
      <c r="BI257" s="32"/>
      <c r="BJ257" s="33"/>
      <c r="BK257" s="2"/>
      <c r="BL257" s="2"/>
    </row>
    <row r="258" spans="1:64" x14ac:dyDescent="0.55000000000000004">
      <c r="A258" s="2"/>
      <c r="B258" s="2"/>
      <c r="C258" s="2"/>
      <c r="D258" s="2"/>
      <c r="P258" s="4"/>
      <c r="AD258" s="4"/>
      <c r="BA258" s="7"/>
      <c r="BC258" s="4"/>
      <c r="BH258" s="4"/>
      <c r="BI258" s="32"/>
      <c r="BJ258" s="33"/>
      <c r="BK258" s="2"/>
      <c r="BL258" s="2"/>
    </row>
    <row r="259" spans="1:64" x14ac:dyDescent="0.55000000000000004">
      <c r="A259" s="2"/>
      <c r="B259" s="2"/>
      <c r="C259" s="2"/>
      <c r="D259" s="2"/>
      <c r="P259" s="4"/>
      <c r="AD259" s="4"/>
      <c r="BA259" s="7"/>
      <c r="BC259" s="4"/>
      <c r="BH259" s="4"/>
      <c r="BI259" s="32"/>
      <c r="BJ259" s="33"/>
      <c r="BK259" s="2"/>
      <c r="BL259" s="2"/>
    </row>
    <row r="260" spans="1:64" x14ac:dyDescent="0.55000000000000004">
      <c r="A260" s="2"/>
      <c r="B260" s="2"/>
      <c r="C260" s="2"/>
      <c r="D260" s="2"/>
      <c r="P260" s="4"/>
      <c r="AD260" s="4"/>
      <c r="BA260" s="7"/>
      <c r="BC260" s="4"/>
      <c r="BH260" s="4"/>
      <c r="BI260" s="32"/>
      <c r="BJ260" s="33"/>
      <c r="BK260" s="2"/>
      <c r="BL260" s="2"/>
    </row>
    <row r="261" spans="1:64" x14ac:dyDescent="0.55000000000000004">
      <c r="A261" s="2"/>
      <c r="B261" s="2"/>
      <c r="C261" s="2"/>
      <c r="D261" s="2"/>
      <c r="P261" s="4"/>
      <c r="AD261" s="4"/>
      <c r="BA261" s="7"/>
      <c r="BC261" s="4"/>
      <c r="BH261" s="4"/>
      <c r="BI261" s="32"/>
      <c r="BJ261" s="33"/>
      <c r="BK261" s="2"/>
      <c r="BL261" s="2"/>
    </row>
    <row r="262" spans="1:64" x14ac:dyDescent="0.55000000000000004">
      <c r="A262" s="2"/>
      <c r="B262" s="2"/>
      <c r="C262" s="2"/>
      <c r="D262" s="2"/>
      <c r="P262" s="4"/>
      <c r="AD262" s="4"/>
      <c r="BA262" s="7"/>
      <c r="BC262" s="4"/>
      <c r="BH262" s="4"/>
      <c r="BI262" s="32"/>
      <c r="BJ262" s="33"/>
      <c r="BK262" s="2"/>
      <c r="BL262" s="2"/>
    </row>
    <row r="263" spans="1:64" x14ac:dyDescent="0.55000000000000004">
      <c r="A263" s="2"/>
      <c r="B263" s="2"/>
      <c r="C263" s="2"/>
      <c r="D263" s="2"/>
      <c r="P263" s="4"/>
      <c r="AD263" s="4"/>
      <c r="BA263" s="7"/>
      <c r="BC263" s="4"/>
      <c r="BH263" s="4"/>
      <c r="BI263" s="32"/>
      <c r="BJ263" s="33"/>
      <c r="BK263" s="2"/>
      <c r="BL263" s="2"/>
    </row>
    <row r="264" spans="1:64" x14ac:dyDescent="0.55000000000000004">
      <c r="A264" s="2"/>
      <c r="B264" s="2"/>
      <c r="C264" s="2"/>
      <c r="D264" s="2"/>
      <c r="P264" s="4"/>
      <c r="AD264" s="4"/>
      <c r="BA264" s="7"/>
      <c r="BC264" s="4"/>
      <c r="BH264" s="4"/>
      <c r="BI264" s="32"/>
      <c r="BJ264" s="33"/>
      <c r="BK264" s="2"/>
      <c r="BL264" s="2"/>
    </row>
    <row r="265" spans="1:64" x14ac:dyDescent="0.55000000000000004">
      <c r="A265" s="2"/>
      <c r="B265" s="2"/>
      <c r="C265" s="2"/>
      <c r="D265" s="2"/>
      <c r="P265" s="4"/>
      <c r="AD265" s="4"/>
      <c r="BA265" s="7"/>
      <c r="BC265" s="4"/>
      <c r="BH265" s="4"/>
      <c r="BI265" s="32"/>
      <c r="BJ265" s="33"/>
      <c r="BK265" s="2"/>
      <c r="BL265" s="2"/>
    </row>
    <row r="266" spans="1:64" x14ac:dyDescent="0.55000000000000004">
      <c r="A266" s="2"/>
      <c r="B266" s="2"/>
      <c r="C266" s="2"/>
      <c r="D266" s="2"/>
      <c r="P266" s="4"/>
      <c r="AD266" s="4"/>
      <c r="BA266" s="7"/>
      <c r="BC266" s="4"/>
      <c r="BH266" s="4"/>
      <c r="BI266" s="32"/>
      <c r="BJ266" s="33"/>
      <c r="BK266" s="2"/>
      <c r="BL266" s="2"/>
    </row>
    <row r="267" spans="1:64" x14ac:dyDescent="0.55000000000000004">
      <c r="A267" s="2"/>
      <c r="B267" s="2"/>
      <c r="C267" s="2"/>
      <c r="D267" s="2"/>
      <c r="P267" s="4"/>
      <c r="AD267" s="4"/>
      <c r="BA267" s="7"/>
      <c r="BC267" s="4"/>
      <c r="BH267" s="4"/>
      <c r="BI267" s="32"/>
      <c r="BJ267" s="33"/>
      <c r="BK267" s="2"/>
      <c r="BL267" s="2"/>
    </row>
    <row r="268" spans="1:64" x14ac:dyDescent="0.55000000000000004">
      <c r="A268" s="2"/>
      <c r="B268" s="2"/>
      <c r="C268" s="2"/>
      <c r="D268" s="2"/>
      <c r="P268" s="4"/>
      <c r="AD268" s="4"/>
      <c r="BA268" s="7"/>
      <c r="BC268" s="4"/>
      <c r="BH268" s="4"/>
      <c r="BI268" s="32"/>
      <c r="BJ268" s="33"/>
      <c r="BK268" s="2"/>
      <c r="BL268" s="2"/>
    </row>
    <row r="269" spans="1:64" x14ac:dyDescent="0.55000000000000004">
      <c r="A269" s="2"/>
      <c r="B269" s="2"/>
      <c r="C269" s="2"/>
      <c r="D269" s="2"/>
      <c r="P269" s="4"/>
      <c r="AD269" s="4"/>
      <c r="BA269" s="7"/>
      <c r="BC269" s="4"/>
      <c r="BH269" s="4"/>
      <c r="BI269" s="32"/>
      <c r="BJ269" s="33"/>
      <c r="BK269" s="2"/>
      <c r="BL269" s="2"/>
    </row>
    <row r="270" spans="1:64" x14ac:dyDescent="0.55000000000000004">
      <c r="A270" s="2"/>
      <c r="B270" s="2"/>
      <c r="C270" s="2"/>
      <c r="D270" s="2"/>
      <c r="P270" s="4"/>
      <c r="AD270" s="4"/>
      <c r="BA270" s="7"/>
      <c r="BC270" s="4"/>
      <c r="BH270" s="4"/>
      <c r="BI270" s="32"/>
      <c r="BJ270" s="33"/>
      <c r="BK270" s="2"/>
      <c r="BL270" s="2"/>
    </row>
    <row r="271" spans="1:64" x14ac:dyDescent="0.55000000000000004">
      <c r="A271" s="2"/>
      <c r="B271" s="2"/>
      <c r="C271" s="2"/>
      <c r="D271" s="2"/>
      <c r="P271" s="4"/>
      <c r="AD271" s="4"/>
      <c r="BA271" s="7"/>
      <c r="BC271" s="4"/>
      <c r="BH271" s="4"/>
      <c r="BI271" s="32"/>
      <c r="BJ271" s="33"/>
      <c r="BK271" s="2"/>
      <c r="BL271" s="2"/>
    </row>
    <row r="272" spans="1:64" x14ac:dyDescent="0.55000000000000004">
      <c r="A272" s="2"/>
      <c r="B272" s="2"/>
      <c r="C272" s="2"/>
      <c r="D272" s="2"/>
      <c r="P272" s="4"/>
      <c r="AD272" s="4"/>
      <c r="BA272" s="7"/>
      <c r="BC272" s="4"/>
      <c r="BH272" s="4"/>
      <c r="BI272" s="32"/>
      <c r="BJ272" s="33"/>
      <c r="BK272" s="2"/>
      <c r="BL272" s="2"/>
    </row>
    <row r="273" spans="1:64" x14ac:dyDescent="0.55000000000000004">
      <c r="A273" s="2"/>
      <c r="B273" s="2"/>
      <c r="C273" s="2"/>
      <c r="D273" s="2"/>
      <c r="P273" s="4"/>
      <c r="AD273" s="4"/>
      <c r="BA273" s="7"/>
      <c r="BC273" s="4"/>
      <c r="BH273" s="4"/>
      <c r="BI273" s="32"/>
      <c r="BJ273" s="33"/>
      <c r="BK273" s="2"/>
      <c r="BL273" s="2"/>
    </row>
    <row r="274" spans="1:64" x14ac:dyDescent="0.55000000000000004">
      <c r="A274" s="2"/>
      <c r="B274" s="2"/>
      <c r="C274" s="2"/>
      <c r="D274" s="2"/>
      <c r="P274" s="4"/>
      <c r="AD274" s="4"/>
      <c r="BA274" s="7"/>
      <c r="BC274" s="4"/>
      <c r="BH274" s="4"/>
      <c r="BI274" s="32"/>
      <c r="BJ274" s="33"/>
      <c r="BK274" s="2"/>
      <c r="BL274" s="2"/>
    </row>
    <row r="275" spans="1:64" x14ac:dyDescent="0.55000000000000004">
      <c r="A275" s="2"/>
      <c r="B275" s="2"/>
      <c r="C275" s="2"/>
      <c r="D275" s="2"/>
      <c r="P275" s="4"/>
      <c r="AD275" s="4"/>
      <c r="BA275" s="7"/>
      <c r="BC275" s="4"/>
      <c r="BH275" s="4"/>
      <c r="BI275" s="32"/>
      <c r="BJ275" s="33"/>
      <c r="BK275" s="2"/>
      <c r="BL275" s="2"/>
    </row>
    <row r="276" spans="1:64" x14ac:dyDescent="0.55000000000000004">
      <c r="A276" s="2"/>
      <c r="B276" s="2"/>
      <c r="C276" s="2"/>
      <c r="D276" s="2"/>
      <c r="P276" s="4"/>
      <c r="AD276" s="4"/>
      <c r="BA276" s="7"/>
      <c r="BC276" s="4"/>
      <c r="BH276" s="4"/>
      <c r="BI276" s="32"/>
      <c r="BJ276" s="33"/>
      <c r="BK276" s="2"/>
      <c r="BL276" s="2"/>
    </row>
    <row r="277" spans="1:64" x14ac:dyDescent="0.55000000000000004">
      <c r="A277" s="2"/>
      <c r="B277" s="2"/>
      <c r="C277" s="2"/>
      <c r="D277" s="2"/>
      <c r="P277" s="4"/>
      <c r="AD277" s="4"/>
      <c r="BA277" s="7"/>
      <c r="BC277" s="4"/>
      <c r="BH277" s="4"/>
      <c r="BI277" s="32"/>
      <c r="BJ277" s="33"/>
      <c r="BK277" s="2"/>
      <c r="BL277" s="2"/>
    </row>
    <row r="278" spans="1:64" x14ac:dyDescent="0.55000000000000004">
      <c r="A278" s="2"/>
      <c r="B278" s="2"/>
      <c r="C278" s="2"/>
      <c r="D278" s="2"/>
      <c r="P278" s="4"/>
      <c r="AD278" s="4"/>
      <c r="BA278" s="7"/>
      <c r="BC278" s="4"/>
      <c r="BH278" s="4"/>
      <c r="BI278" s="32"/>
      <c r="BJ278" s="33"/>
      <c r="BK278" s="2"/>
      <c r="BL278" s="2"/>
    </row>
    <row r="279" spans="1:64" x14ac:dyDescent="0.55000000000000004">
      <c r="A279" s="2"/>
      <c r="B279" s="2"/>
      <c r="C279" s="2"/>
      <c r="D279" s="2"/>
      <c r="P279" s="4"/>
      <c r="AD279" s="4"/>
      <c r="BA279" s="7"/>
      <c r="BC279" s="4"/>
      <c r="BH279" s="4"/>
      <c r="BI279" s="32"/>
      <c r="BJ279" s="33"/>
      <c r="BK279" s="2"/>
      <c r="BL279" s="2"/>
    </row>
    <row r="280" spans="1:64" x14ac:dyDescent="0.55000000000000004">
      <c r="A280" s="2"/>
      <c r="B280" s="2"/>
      <c r="C280" s="2"/>
      <c r="D280" s="2"/>
      <c r="P280" s="4"/>
      <c r="AD280" s="4"/>
      <c r="BA280" s="7"/>
      <c r="BC280" s="4"/>
      <c r="BH280" s="4"/>
      <c r="BI280" s="32"/>
      <c r="BJ280" s="33"/>
      <c r="BK280" s="2"/>
      <c r="BL280" s="2"/>
    </row>
    <row r="281" spans="1:64" x14ac:dyDescent="0.55000000000000004">
      <c r="A281" s="2"/>
      <c r="B281" s="2"/>
      <c r="C281" s="2"/>
      <c r="D281" s="2"/>
      <c r="P281" s="4"/>
      <c r="AD281" s="4"/>
      <c r="BA281" s="7"/>
      <c r="BC281" s="4"/>
      <c r="BH281" s="4"/>
      <c r="BI281" s="32"/>
      <c r="BJ281" s="33"/>
      <c r="BK281" s="2"/>
      <c r="BL281" s="2"/>
    </row>
    <row r="282" spans="1:64" x14ac:dyDescent="0.55000000000000004">
      <c r="A282" s="2"/>
      <c r="B282" s="2"/>
      <c r="C282" s="2"/>
      <c r="D282" s="2"/>
      <c r="P282" s="4"/>
      <c r="AD282" s="4"/>
      <c r="BA282" s="7"/>
      <c r="BC282" s="4"/>
      <c r="BH282" s="4"/>
      <c r="BI282" s="32"/>
      <c r="BJ282" s="33"/>
      <c r="BK282" s="2"/>
      <c r="BL282" s="2"/>
    </row>
    <row r="283" spans="1:64" x14ac:dyDescent="0.55000000000000004">
      <c r="A283" s="2"/>
      <c r="B283" s="2"/>
      <c r="C283" s="2"/>
      <c r="D283" s="2"/>
      <c r="P283" s="4"/>
      <c r="AD283" s="4"/>
      <c r="BA283" s="7"/>
      <c r="BC283" s="4"/>
      <c r="BH283" s="4"/>
      <c r="BI283" s="32"/>
      <c r="BJ283" s="33"/>
      <c r="BK283" s="2"/>
      <c r="BL283" s="2"/>
    </row>
    <row r="284" spans="1:64" x14ac:dyDescent="0.55000000000000004">
      <c r="A284" s="2"/>
      <c r="B284" s="2"/>
      <c r="C284" s="2"/>
      <c r="D284" s="2"/>
      <c r="P284" s="4"/>
      <c r="AD284" s="4"/>
      <c r="BA284" s="7"/>
      <c r="BC284" s="4"/>
      <c r="BH284" s="4"/>
      <c r="BI284" s="32"/>
      <c r="BJ284" s="33"/>
      <c r="BK284" s="2"/>
      <c r="BL284" s="2"/>
    </row>
    <row r="285" spans="1:64" x14ac:dyDescent="0.55000000000000004">
      <c r="A285" s="2"/>
      <c r="B285" s="2"/>
      <c r="C285" s="2"/>
      <c r="D285" s="2"/>
      <c r="P285" s="4"/>
      <c r="AD285" s="4"/>
      <c r="BA285" s="7"/>
      <c r="BC285" s="4"/>
      <c r="BH285" s="4"/>
      <c r="BI285" s="32"/>
      <c r="BJ285" s="33"/>
      <c r="BK285" s="2"/>
      <c r="BL285" s="2"/>
    </row>
    <row r="286" spans="1:64" x14ac:dyDescent="0.55000000000000004">
      <c r="A286" s="2"/>
      <c r="B286" s="2"/>
      <c r="C286" s="2"/>
      <c r="D286" s="2"/>
      <c r="P286" s="4"/>
      <c r="AD286" s="4"/>
      <c r="BA286" s="7"/>
      <c r="BC286" s="4"/>
      <c r="BH286" s="4"/>
      <c r="BI286" s="32"/>
      <c r="BJ286" s="33"/>
      <c r="BK286" s="2"/>
      <c r="BL286" s="2"/>
    </row>
    <row r="287" spans="1:64" x14ac:dyDescent="0.55000000000000004">
      <c r="A287" s="2"/>
      <c r="B287" s="2"/>
      <c r="C287" s="2"/>
      <c r="D287" s="2"/>
      <c r="P287" s="4"/>
      <c r="AD287" s="4"/>
      <c r="BA287" s="7"/>
      <c r="BC287" s="4"/>
      <c r="BH287" s="4"/>
      <c r="BI287" s="32"/>
      <c r="BJ287" s="33"/>
      <c r="BK287" s="2"/>
      <c r="BL287" s="2"/>
    </row>
    <row r="288" spans="1:64" x14ac:dyDescent="0.55000000000000004">
      <c r="A288" s="2"/>
      <c r="B288" s="2"/>
      <c r="C288" s="2"/>
      <c r="D288" s="2"/>
      <c r="P288" s="4"/>
      <c r="AD288" s="4"/>
      <c r="BA288" s="7"/>
      <c r="BC288" s="4"/>
      <c r="BH288" s="4"/>
      <c r="BI288" s="32"/>
      <c r="BJ288" s="33"/>
      <c r="BK288" s="2"/>
      <c r="BL288" s="2"/>
    </row>
    <row r="289" spans="1:64" x14ac:dyDescent="0.55000000000000004">
      <c r="A289" s="2"/>
      <c r="B289" s="2"/>
      <c r="C289" s="2"/>
      <c r="D289" s="2"/>
      <c r="P289" s="4"/>
      <c r="AD289" s="4"/>
      <c r="BA289" s="7"/>
      <c r="BC289" s="4"/>
      <c r="BH289" s="4"/>
      <c r="BI289" s="32"/>
      <c r="BJ289" s="33"/>
      <c r="BK289" s="2"/>
      <c r="BL289" s="2"/>
    </row>
    <row r="290" spans="1:64" x14ac:dyDescent="0.55000000000000004">
      <c r="A290" s="2"/>
      <c r="B290" s="2"/>
      <c r="C290" s="2"/>
      <c r="D290" s="2"/>
      <c r="P290" s="4"/>
      <c r="AD290" s="4"/>
      <c r="BA290" s="7"/>
      <c r="BC290" s="4"/>
      <c r="BH290" s="4"/>
      <c r="BI290" s="32"/>
      <c r="BJ290" s="33"/>
      <c r="BK290" s="2"/>
      <c r="BL290" s="2"/>
    </row>
    <row r="291" spans="1:64" x14ac:dyDescent="0.55000000000000004">
      <c r="A291" s="2"/>
      <c r="B291" s="2"/>
      <c r="C291" s="2"/>
      <c r="D291" s="2"/>
      <c r="P291" s="4"/>
      <c r="AD291" s="4"/>
      <c r="BA291" s="7"/>
      <c r="BC291" s="4"/>
      <c r="BH291" s="4"/>
      <c r="BI291" s="32"/>
      <c r="BJ291" s="33"/>
      <c r="BK291" s="2"/>
      <c r="BL291" s="2"/>
    </row>
    <row r="292" spans="1:64" x14ac:dyDescent="0.55000000000000004">
      <c r="A292" s="2"/>
      <c r="B292" s="2"/>
      <c r="C292" s="2"/>
      <c r="D292" s="2"/>
      <c r="P292" s="4"/>
      <c r="AD292" s="4"/>
      <c r="BA292" s="7"/>
      <c r="BC292" s="4"/>
      <c r="BH292" s="4"/>
      <c r="BI292" s="32"/>
      <c r="BJ292" s="33"/>
      <c r="BK292" s="2"/>
      <c r="BL292" s="2"/>
    </row>
    <row r="293" spans="1:64" x14ac:dyDescent="0.55000000000000004">
      <c r="A293" s="2"/>
      <c r="B293" s="2"/>
      <c r="C293" s="2"/>
      <c r="D293" s="2"/>
      <c r="P293" s="4"/>
      <c r="AD293" s="4"/>
      <c r="BA293" s="7"/>
      <c r="BC293" s="4"/>
      <c r="BH293" s="4"/>
      <c r="BI293" s="32"/>
      <c r="BJ293" s="33"/>
      <c r="BK293" s="2"/>
      <c r="BL293" s="2"/>
    </row>
    <row r="294" spans="1:64" x14ac:dyDescent="0.55000000000000004">
      <c r="A294" s="2"/>
      <c r="B294" s="2"/>
      <c r="C294" s="2"/>
      <c r="D294" s="2"/>
      <c r="P294" s="4"/>
      <c r="AD294" s="4"/>
      <c r="BA294" s="7"/>
      <c r="BC294" s="4"/>
      <c r="BH294" s="4"/>
      <c r="BI294" s="32"/>
      <c r="BJ294" s="33"/>
      <c r="BK294" s="2"/>
      <c r="BL294" s="2"/>
    </row>
    <row r="295" spans="1:64" x14ac:dyDescent="0.55000000000000004">
      <c r="A295" s="2"/>
      <c r="B295" s="2"/>
      <c r="C295" s="2"/>
      <c r="D295" s="2"/>
      <c r="P295" s="4"/>
      <c r="AD295" s="4"/>
      <c r="BA295" s="7"/>
      <c r="BC295" s="4"/>
      <c r="BH295" s="4"/>
      <c r="BI295" s="32"/>
      <c r="BJ295" s="33"/>
      <c r="BK295" s="2"/>
      <c r="BL295" s="2"/>
    </row>
    <row r="296" spans="1:64" x14ac:dyDescent="0.55000000000000004">
      <c r="A296" s="2"/>
      <c r="B296" s="2"/>
      <c r="C296" s="2"/>
      <c r="D296" s="2"/>
      <c r="P296" s="4"/>
      <c r="AD296" s="4"/>
      <c r="BA296" s="7"/>
      <c r="BC296" s="4"/>
      <c r="BH296" s="4"/>
      <c r="BI296" s="32"/>
      <c r="BJ296" s="33"/>
      <c r="BK296" s="2"/>
      <c r="BL296" s="2"/>
    </row>
    <row r="297" spans="1:64" x14ac:dyDescent="0.55000000000000004">
      <c r="A297" s="2"/>
      <c r="B297" s="2"/>
      <c r="C297" s="2"/>
      <c r="D297" s="2"/>
      <c r="P297" s="4"/>
      <c r="AD297" s="4"/>
      <c r="BA297" s="7"/>
      <c r="BC297" s="4"/>
      <c r="BH297" s="4"/>
      <c r="BI297" s="32"/>
      <c r="BJ297" s="33"/>
      <c r="BK297" s="2"/>
      <c r="BL297" s="2"/>
    </row>
    <row r="298" spans="1:64" x14ac:dyDescent="0.55000000000000004">
      <c r="A298" s="2"/>
      <c r="B298" s="2"/>
      <c r="C298" s="2"/>
      <c r="D298" s="2"/>
      <c r="P298" s="4"/>
      <c r="AD298" s="4"/>
      <c r="BA298" s="7"/>
      <c r="BC298" s="4"/>
      <c r="BH298" s="4"/>
      <c r="BI298" s="32"/>
      <c r="BJ298" s="33"/>
      <c r="BK298" s="2"/>
      <c r="BL298" s="2"/>
    </row>
    <row r="299" spans="1:64" x14ac:dyDescent="0.55000000000000004">
      <c r="A299" s="2"/>
      <c r="B299" s="2"/>
      <c r="C299" s="2"/>
      <c r="D299" s="2"/>
      <c r="P299" s="4"/>
      <c r="AD299" s="4"/>
      <c r="BA299" s="7"/>
      <c r="BC299" s="4"/>
      <c r="BH299" s="4"/>
      <c r="BI299" s="32"/>
      <c r="BJ299" s="33"/>
      <c r="BK299" s="2"/>
      <c r="BL299" s="2"/>
    </row>
    <row r="300" spans="1:64" x14ac:dyDescent="0.55000000000000004">
      <c r="A300" s="2"/>
      <c r="B300" s="2"/>
      <c r="C300" s="2"/>
      <c r="D300" s="2"/>
      <c r="P300" s="4"/>
      <c r="AD300" s="4"/>
      <c r="BA300" s="7"/>
      <c r="BC300" s="4"/>
      <c r="BH300" s="4"/>
      <c r="BI300" s="32"/>
      <c r="BJ300" s="33"/>
      <c r="BK300" s="2"/>
      <c r="BL300" s="2"/>
    </row>
    <row r="301" spans="1:64" x14ac:dyDescent="0.55000000000000004">
      <c r="A301" s="2"/>
      <c r="B301" s="2"/>
      <c r="C301" s="2"/>
      <c r="D301" s="2"/>
      <c r="P301" s="4"/>
      <c r="AD301" s="4"/>
      <c r="BA301" s="7"/>
      <c r="BC301" s="4"/>
      <c r="BH301" s="4"/>
      <c r="BI301" s="32"/>
      <c r="BJ301" s="33"/>
      <c r="BK301" s="2"/>
      <c r="BL301" s="2"/>
    </row>
    <row r="302" spans="1:64" x14ac:dyDescent="0.55000000000000004">
      <c r="A302" s="2"/>
      <c r="B302" s="2"/>
      <c r="C302" s="2"/>
      <c r="D302" s="2"/>
      <c r="P302" s="4"/>
      <c r="AD302" s="4"/>
      <c r="BA302" s="7"/>
      <c r="BC302" s="4"/>
      <c r="BH302" s="4"/>
      <c r="BI302" s="32"/>
      <c r="BJ302" s="33"/>
      <c r="BK302" s="2"/>
      <c r="BL302" s="2"/>
    </row>
    <row r="303" spans="1:64" x14ac:dyDescent="0.55000000000000004">
      <c r="A303" s="2"/>
      <c r="B303" s="2"/>
      <c r="C303" s="2"/>
      <c r="D303" s="2"/>
      <c r="P303" s="4"/>
      <c r="AD303" s="4"/>
      <c r="BA303" s="7"/>
      <c r="BC303" s="4"/>
      <c r="BH303" s="4"/>
      <c r="BI303" s="32"/>
      <c r="BJ303" s="33"/>
      <c r="BK303" s="2"/>
      <c r="BL303" s="2"/>
    </row>
    <row r="304" spans="1:64" x14ac:dyDescent="0.55000000000000004">
      <c r="A304" s="2"/>
      <c r="B304" s="2"/>
      <c r="C304" s="2"/>
      <c r="D304" s="2"/>
      <c r="P304" s="4"/>
      <c r="AD304" s="4"/>
      <c r="BA304" s="7"/>
      <c r="BC304" s="4"/>
      <c r="BH304" s="4"/>
      <c r="BI304" s="32"/>
      <c r="BJ304" s="33"/>
      <c r="BK304" s="2"/>
      <c r="BL304" s="2"/>
    </row>
    <row r="305" spans="1:64" x14ac:dyDescent="0.55000000000000004">
      <c r="A305" s="2"/>
      <c r="B305" s="2"/>
      <c r="C305" s="2"/>
      <c r="D305" s="2"/>
      <c r="P305" s="4"/>
      <c r="AD305" s="4"/>
      <c r="BA305" s="7"/>
      <c r="BC305" s="4"/>
      <c r="BH305" s="4"/>
      <c r="BI305" s="32"/>
      <c r="BJ305" s="33"/>
      <c r="BK305" s="2"/>
      <c r="BL305" s="2"/>
    </row>
    <row r="306" spans="1:64" x14ac:dyDescent="0.55000000000000004">
      <c r="A306" s="2"/>
      <c r="B306" s="2"/>
      <c r="C306" s="2"/>
      <c r="D306" s="2"/>
      <c r="P306" s="4"/>
      <c r="AD306" s="4"/>
      <c r="BA306" s="7"/>
      <c r="BC306" s="4"/>
      <c r="BH306" s="4"/>
      <c r="BI306" s="32"/>
      <c r="BJ306" s="33"/>
      <c r="BK306" s="2"/>
      <c r="BL306" s="2"/>
    </row>
    <row r="307" spans="1:64" x14ac:dyDescent="0.55000000000000004">
      <c r="A307" s="2"/>
      <c r="B307" s="2"/>
      <c r="C307" s="2"/>
      <c r="D307" s="2"/>
      <c r="P307" s="4"/>
      <c r="AD307" s="4"/>
      <c r="BA307" s="7"/>
      <c r="BC307" s="4"/>
      <c r="BH307" s="4"/>
      <c r="BI307" s="32"/>
      <c r="BJ307" s="33"/>
      <c r="BK307" s="2"/>
      <c r="BL307" s="2"/>
    </row>
    <row r="308" spans="1:64" x14ac:dyDescent="0.55000000000000004">
      <c r="A308" s="2"/>
      <c r="B308" s="2"/>
      <c r="C308" s="2"/>
      <c r="D308" s="2"/>
      <c r="P308" s="4"/>
      <c r="AD308" s="4"/>
      <c r="BA308" s="7"/>
      <c r="BC308" s="4"/>
      <c r="BH308" s="4"/>
      <c r="BI308" s="32"/>
      <c r="BJ308" s="33"/>
      <c r="BK308" s="2"/>
      <c r="BL308" s="2"/>
    </row>
    <row r="309" spans="1:64" x14ac:dyDescent="0.55000000000000004">
      <c r="A309" s="2"/>
      <c r="B309" s="2"/>
      <c r="C309" s="2"/>
      <c r="D309" s="2"/>
      <c r="P309" s="4"/>
      <c r="AD309" s="4"/>
      <c r="BA309" s="7"/>
      <c r="BC309" s="4"/>
      <c r="BH309" s="4"/>
      <c r="BI309" s="32"/>
      <c r="BJ309" s="33"/>
      <c r="BK309" s="2"/>
      <c r="BL309" s="2"/>
    </row>
    <row r="310" spans="1:64" x14ac:dyDescent="0.55000000000000004">
      <c r="A310" s="2"/>
      <c r="B310" s="2"/>
      <c r="C310" s="2"/>
      <c r="D310" s="2"/>
      <c r="P310" s="4"/>
      <c r="AD310" s="4"/>
      <c r="BA310" s="7"/>
      <c r="BC310" s="4"/>
      <c r="BH310" s="4"/>
      <c r="BI310" s="32"/>
      <c r="BJ310" s="33"/>
      <c r="BK310" s="2"/>
      <c r="BL310" s="2"/>
    </row>
    <row r="311" spans="1:64" x14ac:dyDescent="0.55000000000000004">
      <c r="A311" s="2"/>
      <c r="B311" s="2"/>
      <c r="C311" s="2"/>
      <c r="D311" s="2"/>
      <c r="P311" s="4"/>
      <c r="AD311" s="4"/>
      <c r="BA311" s="7"/>
      <c r="BC311" s="4"/>
      <c r="BH311" s="4"/>
      <c r="BI311" s="32"/>
      <c r="BJ311" s="33"/>
      <c r="BK311" s="2"/>
      <c r="BL311" s="2"/>
    </row>
    <row r="312" spans="1:64" x14ac:dyDescent="0.55000000000000004">
      <c r="A312" s="2"/>
      <c r="B312" s="2"/>
      <c r="C312" s="2"/>
      <c r="D312" s="2"/>
      <c r="P312" s="4"/>
      <c r="AD312" s="4"/>
      <c r="BA312" s="7"/>
      <c r="BC312" s="4"/>
      <c r="BH312" s="4"/>
      <c r="BI312" s="32"/>
      <c r="BJ312" s="33"/>
      <c r="BK312" s="2"/>
      <c r="BL312" s="2"/>
    </row>
    <row r="313" spans="1:64" x14ac:dyDescent="0.55000000000000004">
      <c r="A313" s="2"/>
      <c r="B313" s="2"/>
      <c r="C313" s="2"/>
      <c r="D313" s="2"/>
      <c r="P313" s="4"/>
      <c r="AD313" s="4"/>
      <c r="BA313" s="7"/>
      <c r="BC313" s="4"/>
      <c r="BH313" s="4"/>
      <c r="BI313" s="32"/>
      <c r="BJ313" s="33"/>
      <c r="BK313" s="2"/>
      <c r="BL313" s="2"/>
    </row>
    <row r="314" spans="1:64" x14ac:dyDescent="0.55000000000000004">
      <c r="A314" s="2"/>
      <c r="B314" s="2"/>
      <c r="C314" s="2"/>
      <c r="D314" s="2"/>
      <c r="P314" s="4"/>
      <c r="AD314" s="4"/>
      <c r="BA314" s="7"/>
      <c r="BC314" s="4"/>
      <c r="BH314" s="4"/>
      <c r="BI314" s="32"/>
      <c r="BJ314" s="33"/>
      <c r="BK314" s="2"/>
      <c r="BL314" s="2"/>
    </row>
    <row r="315" spans="1:64" x14ac:dyDescent="0.55000000000000004">
      <c r="A315" s="2"/>
      <c r="B315" s="2"/>
      <c r="C315" s="2"/>
      <c r="D315" s="2"/>
      <c r="P315" s="4"/>
      <c r="AD315" s="4"/>
      <c r="BA315" s="7"/>
      <c r="BC315" s="4"/>
      <c r="BH315" s="4"/>
      <c r="BI315" s="32"/>
      <c r="BJ315" s="33"/>
      <c r="BK315" s="2"/>
      <c r="BL315" s="2"/>
    </row>
    <row r="316" spans="1:64" x14ac:dyDescent="0.55000000000000004">
      <c r="A316" s="2"/>
      <c r="B316" s="2"/>
      <c r="C316" s="2"/>
      <c r="D316" s="2"/>
      <c r="P316" s="4"/>
      <c r="AD316" s="4"/>
      <c r="BA316" s="7"/>
      <c r="BC316" s="4"/>
      <c r="BH316" s="4"/>
      <c r="BI316" s="32"/>
      <c r="BJ316" s="33"/>
      <c r="BK316" s="2"/>
      <c r="BL316" s="2"/>
    </row>
    <row r="317" spans="1:64" x14ac:dyDescent="0.55000000000000004">
      <c r="A317" s="2"/>
      <c r="B317" s="2"/>
      <c r="C317" s="2"/>
      <c r="D317" s="2"/>
      <c r="P317" s="4"/>
      <c r="AD317" s="4"/>
      <c r="BA317" s="7"/>
      <c r="BC317" s="4"/>
      <c r="BH317" s="4"/>
      <c r="BI317" s="32"/>
      <c r="BJ317" s="33"/>
      <c r="BK317" s="2"/>
      <c r="BL317" s="2"/>
    </row>
    <row r="318" spans="1:64" x14ac:dyDescent="0.55000000000000004">
      <c r="A318" s="2"/>
      <c r="B318" s="2"/>
      <c r="C318" s="2"/>
      <c r="D318" s="2"/>
      <c r="P318" s="4"/>
      <c r="AD318" s="4"/>
      <c r="BA318" s="7"/>
      <c r="BC318" s="4"/>
      <c r="BH318" s="4"/>
      <c r="BI318" s="32"/>
      <c r="BJ318" s="33"/>
      <c r="BK318" s="2"/>
      <c r="BL318" s="2"/>
    </row>
    <row r="319" spans="1:64" x14ac:dyDescent="0.55000000000000004">
      <c r="A319" s="2"/>
      <c r="B319" s="2"/>
      <c r="C319" s="2"/>
      <c r="D319" s="2"/>
      <c r="P319" s="4"/>
      <c r="AD319" s="4"/>
      <c r="BA319" s="7"/>
      <c r="BC319" s="4"/>
      <c r="BH319" s="4"/>
      <c r="BI319" s="32"/>
      <c r="BJ319" s="33"/>
      <c r="BK319" s="2"/>
      <c r="BL319" s="2"/>
    </row>
    <row r="320" spans="1:64" x14ac:dyDescent="0.55000000000000004">
      <c r="A320" s="2"/>
      <c r="B320" s="2"/>
      <c r="C320" s="2"/>
      <c r="D320" s="2"/>
      <c r="P320" s="4"/>
      <c r="AD320" s="4"/>
      <c r="BA320" s="7"/>
      <c r="BC320" s="4"/>
      <c r="BH320" s="4"/>
      <c r="BI320" s="32"/>
      <c r="BJ320" s="33"/>
      <c r="BK320" s="2"/>
      <c r="BL320" s="2"/>
    </row>
    <row r="321" spans="1:64" x14ac:dyDescent="0.55000000000000004">
      <c r="A321" s="2"/>
      <c r="B321" s="2"/>
      <c r="C321" s="2"/>
      <c r="D321" s="2"/>
      <c r="P321" s="4"/>
      <c r="AD321" s="4"/>
      <c r="BA321" s="7"/>
      <c r="BC321" s="4"/>
      <c r="BH321" s="4"/>
      <c r="BI321" s="32"/>
      <c r="BJ321" s="33"/>
      <c r="BK321" s="2"/>
      <c r="BL321" s="2"/>
    </row>
    <row r="322" spans="1:64" x14ac:dyDescent="0.55000000000000004">
      <c r="A322" s="2"/>
      <c r="B322" s="2"/>
      <c r="C322" s="2"/>
      <c r="D322" s="2"/>
      <c r="P322" s="4"/>
      <c r="AD322" s="4"/>
      <c r="BA322" s="7"/>
      <c r="BC322" s="4"/>
      <c r="BH322" s="4"/>
      <c r="BI322" s="32"/>
      <c r="BJ322" s="33"/>
      <c r="BK322" s="2"/>
      <c r="BL322" s="2"/>
    </row>
    <row r="323" spans="1:64" x14ac:dyDescent="0.55000000000000004">
      <c r="A323" s="2"/>
      <c r="B323" s="2"/>
      <c r="C323" s="2"/>
      <c r="D323" s="2"/>
      <c r="P323" s="4"/>
      <c r="AD323" s="4"/>
      <c r="BA323" s="7"/>
      <c r="BC323" s="4"/>
      <c r="BH323" s="4"/>
      <c r="BI323" s="32"/>
      <c r="BJ323" s="33"/>
      <c r="BK323" s="2"/>
      <c r="BL323" s="2"/>
    </row>
    <row r="324" spans="1:64" x14ac:dyDescent="0.55000000000000004">
      <c r="A324" s="2"/>
      <c r="B324" s="2"/>
      <c r="C324" s="2"/>
      <c r="D324" s="2"/>
      <c r="P324" s="4"/>
      <c r="AD324" s="4"/>
      <c r="BA324" s="7"/>
      <c r="BC324" s="4"/>
      <c r="BH324" s="4"/>
      <c r="BI324" s="32"/>
      <c r="BJ324" s="33"/>
      <c r="BK324" s="2"/>
      <c r="BL324" s="2"/>
    </row>
    <row r="325" spans="1:64" x14ac:dyDescent="0.55000000000000004">
      <c r="A325" s="2"/>
      <c r="B325" s="2"/>
      <c r="C325" s="2"/>
      <c r="D325" s="2"/>
      <c r="P325" s="4"/>
      <c r="AD325" s="4"/>
      <c r="BA325" s="7"/>
      <c r="BC325" s="4"/>
      <c r="BH325" s="4"/>
      <c r="BI325" s="32"/>
      <c r="BJ325" s="33"/>
      <c r="BK325" s="2"/>
      <c r="BL325" s="2"/>
    </row>
    <row r="326" spans="1:64" x14ac:dyDescent="0.55000000000000004">
      <c r="A326" s="2"/>
      <c r="B326" s="2"/>
      <c r="C326" s="2"/>
      <c r="D326" s="2"/>
      <c r="P326" s="4"/>
      <c r="AD326" s="4"/>
      <c r="BA326" s="7"/>
      <c r="BC326" s="4"/>
      <c r="BH326" s="4"/>
      <c r="BI326" s="32"/>
      <c r="BJ326" s="33"/>
      <c r="BK326" s="2"/>
      <c r="BL326" s="2"/>
    </row>
    <row r="327" spans="1:64" x14ac:dyDescent="0.55000000000000004">
      <c r="A327" s="2"/>
      <c r="B327" s="2"/>
      <c r="C327" s="2"/>
      <c r="D327" s="2"/>
      <c r="P327" s="4"/>
      <c r="AD327" s="4"/>
      <c r="BA327" s="7"/>
      <c r="BC327" s="4"/>
      <c r="BH327" s="4"/>
      <c r="BI327" s="32"/>
      <c r="BJ327" s="33"/>
      <c r="BK327" s="2"/>
      <c r="BL327" s="2"/>
    </row>
    <row r="328" spans="1:64" x14ac:dyDescent="0.55000000000000004">
      <c r="A328" s="2"/>
      <c r="B328" s="2"/>
      <c r="C328" s="2"/>
      <c r="D328" s="2"/>
      <c r="P328" s="4"/>
      <c r="AD328" s="4"/>
      <c r="BA328" s="7"/>
      <c r="BC328" s="4"/>
      <c r="BH328" s="4"/>
      <c r="BI328" s="32"/>
      <c r="BJ328" s="33"/>
      <c r="BK328" s="2"/>
      <c r="BL328" s="2"/>
    </row>
    <row r="329" spans="1:64" x14ac:dyDescent="0.55000000000000004">
      <c r="A329" s="2"/>
      <c r="B329" s="2"/>
      <c r="C329" s="2"/>
      <c r="D329" s="2"/>
      <c r="P329" s="4"/>
      <c r="AD329" s="4"/>
      <c r="BA329" s="7"/>
      <c r="BC329" s="4"/>
      <c r="BH329" s="4"/>
      <c r="BI329" s="32"/>
      <c r="BJ329" s="33"/>
      <c r="BK329" s="2"/>
      <c r="BL329" s="2"/>
    </row>
    <row r="330" spans="1:64" x14ac:dyDescent="0.55000000000000004">
      <c r="A330" s="2"/>
      <c r="B330" s="2"/>
      <c r="C330" s="2"/>
      <c r="D330" s="2"/>
      <c r="P330" s="4"/>
      <c r="AD330" s="4"/>
      <c r="BA330" s="7"/>
      <c r="BC330" s="4"/>
      <c r="BH330" s="4"/>
      <c r="BI330" s="32"/>
      <c r="BJ330" s="33"/>
      <c r="BK330" s="2"/>
      <c r="BL330" s="2"/>
    </row>
    <row r="331" spans="1:64" x14ac:dyDescent="0.55000000000000004">
      <c r="A331" s="2"/>
      <c r="B331" s="2"/>
      <c r="C331" s="2"/>
      <c r="D331" s="2"/>
      <c r="P331" s="4"/>
      <c r="AD331" s="4"/>
      <c r="BA331" s="7"/>
      <c r="BC331" s="4"/>
      <c r="BH331" s="4"/>
      <c r="BI331" s="32"/>
      <c r="BJ331" s="33"/>
      <c r="BK331" s="2"/>
      <c r="BL331" s="2"/>
    </row>
    <row r="332" spans="1:64" x14ac:dyDescent="0.55000000000000004">
      <c r="A332" s="2"/>
      <c r="B332" s="2"/>
      <c r="C332" s="2"/>
      <c r="D332" s="2"/>
      <c r="P332" s="4"/>
      <c r="AD332" s="4"/>
      <c r="BA332" s="7"/>
      <c r="BC332" s="4"/>
      <c r="BH332" s="4"/>
      <c r="BI332" s="32"/>
      <c r="BJ332" s="33"/>
      <c r="BK332" s="2"/>
      <c r="BL332" s="2"/>
    </row>
    <row r="333" spans="1:64" x14ac:dyDescent="0.55000000000000004">
      <c r="A333" s="2"/>
      <c r="B333" s="2"/>
      <c r="C333" s="2"/>
      <c r="D333" s="2"/>
      <c r="P333" s="4"/>
      <c r="AD333" s="4"/>
      <c r="BA333" s="7"/>
      <c r="BC333" s="4"/>
      <c r="BH333" s="4"/>
      <c r="BI333" s="32"/>
      <c r="BJ333" s="33"/>
      <c r="BK333" s="2"/>
      <c r="BL333" s="2"/>
    </row>
    <row r="334" spans="1:64" x14ac:dyDescent="0.55000000000000004">
      <c r="A334" s="2"/>
      <c r="B334" s="2"/>
      <c r="C334" s="2"/>
      <c r="D334" s="2"/>
      <c r="P334" s="4"/>
      <c r="AD334" s="4"/>
      <c r="BA334" s="7"/>
      <c r="BC334" s="4"/>
      <c r="BH334" s="4"/>
      <c r="BI334" s="32"/>
      <c r="BJ334" s="33"/>
      <c r="BK334" s="2"/>
      <c r="BL334" s="2"/>
    </row>
    <row r="335" spans="1:64" x14ac:dyDescent="0.55000000000000004">
      <c r="A335" s="2"/>
      <c r="B335" s="2"/>
      <c r="C335" s="2"/>
      <c r="D335" s="2"/>
      <c r="P335" s="4"/>
      <c r="AD335" s="4"/>
      <c r="BA335" s="7"/>
      <c r="BC335" s="4"/>
      <c r="BH335" s="4"/>
      <c r="BI335" s="32"/>
      <c r="BJ335" s="33"/>
      <c r="BK335" s="2"/>
      <c r="BL335" s="2"/>
    </row>
    <row r="336" spans="1:64" x14ac:dyDescent="0.55000000000000004">
      <c r="A336" s="2"/>
      <c r="B336" s="2"/>
      <c r="C336" s="2"/>
      <c r="D336" s="2"/>
      <c r="P336" s="4"/>
      <c r="AD336" s="4"/>
      <c r="BA336" s="7"/>
      <c r="BC336" s="4"/>
      <c r="BH336" s="4"/>
      <c r="BI336" s="32"/>
      <c r="BJ336" s="33"/>
      <c r="BK336" s="2"/>
      <c r="BL336" s="2"/>
    </row>
    <row r="337" spans="1:64" x14ac:dyDescent="0.55000000000000004">
      <c r="A337" s="2"/>
      <c r="B337" s="2"/>
      <c r="C337" s="2"/>
      <c r="D337" s="2"/>
      <c r="P337" s="4"/>
      <c r="AD337" s="4"/>
      <c r="BA337" s="7"/>
      <c r="BC337" s="4"/>
      <c r="BH337" s="4"/>
      <c r="BI337" s="32"/>
      <c r="BJ337" s="33"/>
      <c r="BK337" s="2"/>
      <c r="BL337" s="2"/>
    </row>
    <row r="338" spans="1:64" x14ac:dyDescent="0.55000000000000004">
      <c r="A338" s="2"/>
      <c r="B338" s="2"/>
      <c r="C338" s="2"/>
      <c r="D338" s="2"/>
      <c r="P338" s="4"/>
      <c r="AD338" s="4"/>
      <c r="BA338" s="7"/>
      <c r="BC338" s="4"/>
      <c r="BH338" s="4"/>
      <c r="BI338" s="32"/>
      <c r="BJ338" s="33"/>
      <c r="BK338" s="2"/>
      <c r="BL338" s="2"/>
    </row>
    <row r="339" spans="1:64" x14ac:dyDescent="0.55000000000000004">
      <c r="A339" s="2"/>
      <c r="B339" s="2"/>
      <c r="C339" s="2"/>
      <c r="D339" s="2"/>
      <c r="P339" s="4"/>
      <c r="AD339" s="4"/>
      <c r="BA339" s="7"/>
      <c r="BC339" s="4"/>
      <c r="BH339" s="4"/>
      <c r="BI339" s="32"/>
      <c r="BJ339" s="33"/>
      <c r="BK339" s="2"/>
      <c r="BL339" s="2"/>
    </row>
    <row r="340" spans="1:64" x14ac:dyDescent="0.55000000000000004">
      <c r="A340" s="2"/>
      <c r="B340" s="2"/>
      <c r="C340" s="2"/>
      <c r="D340" s="2"/>
      <c r="P340" s="4"/>
      <c r="AD340" s="4"/>
      <c r="BA340" s="7"/>
      <c r="BC340" s="4"/>
      <c r="BH340" s="4"/>
      <c r="BI340" s="32"/>
      <c r="BJ340" s="33"/>
      <c r="BK340" s="2"/>
      <c r="BL340" s="2"/>
    </row>
    <row r="341" spans="1:64" x14ac:dyDescent="0.55000000000000004">
      <c r="A341" s="2"/>
      <c r="B341" s="2"/>
      <c r="C341" s="2"/>
      <c r="D341" s="2"/>
      <c r="P341" s="4"/>
      <c r="AD341" s="4"/>
      <c r="BA341" s="7"/>
      <c r="BC341" s="4"/>
      <c r="BH341" s="4"/>
      <c r="BI341" s="32"/>
      <c r="BJ341" s="33"/>
      <c r="BK341" s="2"/>
      <c r="BL341" s="2"/>
    </row>
    <row r="342" spans="1:64" x14ac:dyDescent="0.55000000000000004">
      <c r="A342" s="2"/>
      <c r="B342" s="2"/>
      <c r="C342" s="2"/>
      <c r="D342" s="2"/>
      <c r="P342" s="4"/>
      <c r="AD342" s="4"/>
      <c r="BA342" s="7"/>
      <c r="BC342" s="4"/>
      <c r="BH342" s="4"/>
      <c r="BI342" s="32"/>
      <c r="BJ342" s="33"/>
      <c r="BK342" s="2"/>
      <c r="BL342" s="2"/>
    </row>
    <row r="343" spans="1:64" x14ac:dyDescent="0.55000000000000004">
      <c r="A343" s="2"/>
      <c r="B343" s="2"/>
      <c r="C343" s="2"/>
      <c r="D343" s="2"/>
      <c r="P343" s="4"/>
      <c r="AD343" s="4"/>
      <c r="BA343" s="7"/>
      <c r="BC343" s="4"/>
      <c r="BH343" s="4"/>
      <c r="BI343" s="32"/>
      <c r="BJ343" s="33"/>
      <c r="BK343" s="2"/>
      <c r="BL343" s="2"/>
    </row>
    <row r="344" spans="1:64" x14ac:dyDescent="0.55000000000000004">
      <c r="A344" s="2"/>
      <c r="B344" s="2"/>
      <c r="C344" s="2"/>
      <c r="D344" s="2"/>
      <c r="P344" s="4"/>
      <c r="AD344" s="4"/>
      <c r="BA344" s="7"/>
      <c r="BC344" s="4"/>
      <c r="BH344" s="4"/>
      <c r="BI344" s="32"/>
      <c r="BJ344" s="33"/>
      <c r="BK344" s="2"/>
      <c r="BL344" s="2"/>
    </row>
    <row r="345" spans="1:64" x14ac:dyDescent="0.55000000000000004">
      <c r="A345" s="2"/>
      <c r="B345" s="2"/>
      <c r="C345" s="2"/>
      <c r="D345" s="2"/>
      <c r="P345" s="4"/>
      <c r="AD345" s="4"/>
      <c r="BA345" s="7"/>
      <c r="BC345" s="4"/>
      <c r="BH345" s="4"/>
      <c r="BI345" s="32"/>
      <c r="BJ345" s="33"/>
      <c r="BK345" s="2"/>
      <c r="BL345" s="2"/>
    </row>
    <row r="346" spans="1:64" x14ac:dyDescent="0.55000000000000004">
      <c r="A346" s="2"/>
      <c r="B346" s="2"/>
      <c r="C346" s="2"/>
      <c r="D346" s="2"/>
      <c r="P346" s="4"/>
      <c r="AD346" s="4"/>
      <c r="BA346" s="7"/>
      <c r="BC346" s="4"/>
      <c r="BH346" s="4"/>
      <c r="BI346" s="32"/>
      <c r="BJ346" s="33"/>
      <c r="BK346" s="2"/>
      <c r="BL346" s="2"/>
    </row>
    <row r="347" spans="1:64" x14ac:dyDescent="0.55000000000000004">
      <c r="A347" s="2"/>
      <c r="B347" s="2"/>
      <c r="C347" s="2"/>
      <c r="D347" s="2"/>
      <c r="P347" s="4"/>
      <c r="AD347" s="4"/>
      <c r="BA347" s="7"/>
      <c r="BC347" s="4"/>
      <c r="BH347" s="4"/>
      <c r="BI347" s="32"/>
      <c r="BJ347" s="33"/>
      <c r="BK347" s="2"/>
      <c r="BL347" s="2"/>
    </row>
    <row r="348" spans="1:64" x14ac:dyDescent="0.55000000000000004">
      <c r="A348" s="2"/>
      <c r="B348" s="2"/>
      <c r="C348" s="2"/>
      <c r="D348" s="2"/>
      <c r="P348" s="4"/>
      <c r="AD348" s="4"/>
      <c r="BA348" s="7"/>
      <c r="BC348" s="4"/>
      <c r="BH348" s="4"/>
      <c r="BI348" s="32"/>
      <c r="BJ348" s="33"/>
      <c r="BK348" s="2"/>
      <c r="BL348" s="2"/>
    </row>
    <row r="349" spans="1:64" x14ac:dyDescent="0.55000000000000004">
      <c r="A349" s="2"/>
      <c r="B349" s="2"/>
      <c r="C349" s="2"/>
      <c r="D349" s="2"/>
      <c r="P349" s="4"/>
      <c r="AD349" s="4"/>
      <c r="BA349" s="7"/>
      <c r="BC349" s="4"/>
      <c r="BH349" s="4"/>
      <c r="BI349" s="32"/>
      <c r="BJ349" s="33"/>
      <c r="BK349" s="2"/>
      <c r="BL349" s="2"/>
    </row>
    <row r="350" spans="1:64" x14ac:dyDescent="0.55000000000000004">
      <c r="A350" s="2"/>
      <c r="B350" s="2"/>
      <c r="C350" s="2"/>
      <c r="D350" s="2"/>
      <c r="P350" s="4"/>
      <c r="AD350" s="4"/>
      <c r="BA350" s="7"/>
      <c r="BC350" s="4"/>
      <c r="BH350" s="4"/>
      <c r="BI350" s="32"/>
      <c r="BJ350" s="33"/>
      <c r="BK350" s="2"/>
      <c r="BL350" s="2"/>
    </row>
    <row r="351" spans="1:64" x14ac:dyDescent="0.55000000000000004">
      <c r="A351" s="2"/>
      <c r="B351" s="2"/>
      <c r="C351" s="2"/>
      <c r="D351" s="2"/>
      <c r="P351" s="4"/>
      <c r="AD351" s="4"/>
      <c r="BA351" s="7"/>
      <c r="BC351" s="4"/>
      <c r="BH351" s="4"/>
      <c r="BI351" s="32"/>
      <c r="BJ351" s="33"/>
      <c r="BK351" s="2"/>
      <c r="BL351" s="2"/>
    </row>
    <row r="352" spans="1:64" x14ac:dyDescent="0.55000000000000004">
      <c r="A352" s="2"/>
      <c r="B352" s="2"/>
      <c r="C352" s="2"/>
      <c r="D352" s="2"/>
      <c r="P352" s="4"/>
      <c r="AD352" s="4"/>
      <c r="BA352" s="7"/>
      <c r="BC352" s="4"/>
      <c r="BH352" s="4"/>
      <c r="BI352" s="32"/>
      <c r="BJ352" s="33"/>
      <c r="BK352" s="2"/>
      <c r="BL352" s="2"/>
    </row>
    <row r="353" spans="1:64" x14ac:dyDescent="0.55000000000000004">
      <c r="A353" s="2"/>
      <c r="B353" s="2"/>
      <c r="C353" s="2"/>
      <c r="D353" s="2"/>
      <c r="P353" s="4"/>
      <c r="AD353" s="4"/>
      <c r="BA353" s="7"/>
      <c r="BC353" s="4"/>
      <c r="BH353" s="4"/>
      <c r="BI353" s="32"/>
      <c r="BJ353" s="33"/>
      <c r="BK353" s="2"/>
      <c r="BL353" s="2"/>
    </row>
    <row r="354" spans="1:64" x14ac:dyDescent="0.55000000000000004">
      <c r="A354" s="2"/>
      <c r="B354" s="2"/>
      <c r="C354" s="2"/>
      <c r="D354" s="2"/>
      <c r="P354" s="4"/>
      <c r="AD354" s="4"/>
      <c r="BA354" s="7"/>
      <c r="BC354" s="4"/>
      <c r="BH354" s="4"/>
      <c r="BI354" s="32"/>
      <c r="BJ354" s="33"/>
      <c r="BK354" s="2"/>
      <c r="BL354" s="2"/>
    </row>
    <row r="355" spans="1:64" x14ac:dyDescent="0.55000000000000004">
      <c r="A355" s="2"/>
      <c r="B355" s="2"/>
      <c r="C355" s="2"/>
      <c r="D355" s="2"/>
      <c r="P355" s="4"/>
      <c r="AD355" s="4"/>
      <c r="BA355" s="7"/>
      <c r="BC355" s="4"/>
      <c r="BH355" s="4"/>
      <c r="BI355" s="32"/>
      <c r="BJ355" s="33"/>
      <c r="BK355" s="2"/>
      <c r="BL355" s="2"/>
    </row>
    <row r="356" spans="1:64" x14ac:dyDescent="0.55000000000000004">
      <c r="A356" s="2"/>
      <c r="B356" s="2"/>
      <c r="C356" s="2"/>
      <c r="D356" s="2"/>
      <c r="P356" s="4"/>
      <c r="AD356" s="4"/>
      <c r="BA356" s="7"/>
      <c r="BC356" s="4"/>
      <c r="BH356" s="4"/>
      <c r="BI356" s="32"/>
      <c r="BJ356" s="33"/>
      <c r="BK356" s="2"/>
      <c r="BL356" s="2"/>
    </row>
    <row r="357" spans="1:64" x14ac:dyDescent="0.55000000000000004">
      <c r="A357" s="2"/>
      <c r="B357" s="2"/>
      <c r="C357" s="2"/>
      <c r="D357" s="2"/>
      <c r="P357" s="4"/>
      <c r="AD357" s="4"/>
      <c r="BA357" s="7"/>
      <c r="BC357" s="4"/>
      <c r="BH357" s="4"/>
      <c r="BI357" s="32"/>
      <c r="BJ357" s="33"/>
      <c r="BK357" s="2"/>
      <c r="BL357" s="2"/>
    </row>
    <row r="358" spans="1:64" x14ac:dyDescent="0.55000000000000004">
      <c r="A358" s="2"/>
      <c r="B358" s="2"/>
      <c r="C358" s="2"/>
      <c r="D358" s="2"/>
      <c r="P358" s="4"/>
      <c r="AD358" s="4"/>
      <c r="BA358" s="7"/>
      <c r="BC358" s="4"/>
      <c r="BH358" s="4"/>
      <c r="BI358" s="32"/>
      <c r="BJ358" s="33"/>
      <c r="BK358" s="2"/>
      <c r="BL358" s="2"/>
    </row>
    <row r="359" spans="1:64" x14ac:dyDescent="0.55000000000000004">
      <c r="A359" s="2"/>
      <c r="B359" s="2"/>
      <c r="C359" s="2"/>
      <c r="D359" s="2"/>
      <c r="P359" s="4"/>
      <c r="AD359" s="4"/>
      <c r="BA359" s="7"/>
      <c r="BC359" s="4"/>
      <c r="BH359" s="4"/>
      <c r="BI359" s="32"/>
      <c r="BJ359" s="33"/>
      <c r="BK359" s="2"/>
      <c r="BL359" s="2"/>
    </row>
    <row r="360" spans="1:64" x14ac:dyDescent="0.55000000000000004">
      <c r="A360" s="2"/>
      <c r="B360" s="2"/>
      <c r="C360" s="2"/>
      <c r="D360" s="2"/>
      <c r="P360" s="4"/>
      <c r="AD360" s="4"/>
      <c r="BA360" s="7"/>
      <c r="BC360" s="4"/>
      <c r="BH360" s="4"/>
      <c r="BI360" s="32"/>
      <c r="BJ360" s="33"/>
      <c r="BK360" s="2"/>
      <c r="BL360" s="2"/>
    </row>
    <row r="361" spans="1:64" x14ac:dyDescent="0.55000000000000004">
      <c r="A361" s="2"/>
      <c r="B361" s="2"/>
      <c r="C361" s="2"/>
      <c r="D361" s="2"/>
      <c r="P361" s="4"/>
      <c r="AD361" s="4"/>
      <c r="BA361" s="7"/>
      <c r="BC361" s="4"/>
      <c r="BH361" s="4"/>
      <c r="BI361" s="32"/>
      <c r="BJ361" s="33"/>
      <c r="BK361" s="2"/>
      <c r="BL361" s="2"/>
    </row>
    <row r="362" spans="1:64" x14ac:dyDescent="0.55000000000000004">
      <c r="A362" s="2"/>
      <c r="B362" s="2"/>
      <c r="C362" s="2"/>
      <c r="D362" s="2"/>
      <c r="P362" s="4"/>
      <c r="AD362" s="4"/>
      <c r="BA362" s="7"/>
      <c r="BC362" s="4"/>
      <c r="BH362" s="4"/>
      <c r="BI362" s="32"/>
      <c r="BJ362" s="33"/>
      <c r="BK362" s="2"/>
      <c r="BL362" s="2"/>
    </row>
    <row r="363" spans="1:64" x14ac:dyDescent="0.55000000000000004">
      <c r="A363" s="2"/>
      <c r="B363" s="2"/>
      <c r="C363" s="2"/>
      <c r="D363" s="2"/>
      <c r="P363" s="4"/>
      <c r="AD363" s="4"/>
      <c r="BA363" s="7"/>
      <c r="BC363" s="4"/>
      <c r="BH363" s="4"/>
      <c r="BI363" s="32"/>
      <c r="BJ363" s="33"/>
      <c r="BK363" s="2"/>
      <c r="BL363" s="2"/>
    </row>
    <row r="364" spans="1:64" x14ac:dyDescent="0.55000000000000004">
      <c r="A364" s="2"/>
      <c r="B364" s="2"/>
      <c r="C364" s="2"/>
      <c r="D364" s="2"/>
      <c r="P364" s="4"/>
      <c r="AD364" s="4"/>
      <c r="BA364" s="7"/>
      <c r="BC364" s="4"/>
      <c r="BH364" s="4"/>
      <c r="BI364" s="32"/>
      <c r="BJ364" s="33"/>
      <c r="BK364" s="2"/>
      <c r="BL364" s="2"/>
    </row>
    <row r="365" spans="1:64" x14ac:dyDescent="0.55000000000000004">
      <c r="A365" s="2"/>
      <c r="B365" s="2"/>
      <c r="C365" s="2"/>
      <c r="D365" s="2"/>
      <c r="P365" s="4"/>
      <c r="AD365" s="4"/>
      <c r="BA365" s="7"/>
      <c r="BC365" s="4"/>
      <c r="BH365" s="4"/>
      <c r="BI365" s="32"/>
      <c r="BJ365" s="33"/>
      <c r="BK365" s="2"/>
      <c r="BL365" s="2"/>
    </row>
    <row r="366" spans="1:64" x14ac:dyDescent="0.55000000000000004">
      <c r="A366" s="2"/>
      <c r="B366" s="2"/>
      <c r="C366" s="2"/>
      <c r="D366" s="2"/>
      <c r="P366" s="4"/>
      <c r="AD366" s="4"/>
      <c r="BA366" s="7"/>
      <c r="BC366" s="4"/>
      <c r="BH366" s="4"/>
      <c r="BI366" s="32"/>
      <c r="BJ366" s="33"/>
      <c r="BK366" s="2"/>
      <c r="BL366" s="2"/>
    </row>
    <row r="367" spans="1:64" x14ac:dyDescent="0.55000000000000004">
      <c r="A367" s="2"/>
      <c r="B367" s="2"/>
      <c r="C367" s="2"/>
      <c r="D367" s="2"/>
      <c r="P367" s="4"/>
      <c r="AD367" s="4"/>
      <c r="BA367" s="7"/>
      <c r="BC367" s="4"/>
      <c r="BH367" s="4"/>
      <c r="BI367" s="32"/>
      <c r="BJ367" s="33"/>
      <c r="BK367" s="2"/>
      <c r="BL367" s="2"/>
    </row>
    <row r="368" spans="1:64" x14ac:dyDescent="0.55000000000000004">
      <c r="A368" s="2"/>
      <c r="B368" s="2"/>
      <c r="C368" s="2"/>
      <c r="D368" s="2"/>
      <c r="P368" s="4"/>
      <c r="AD368" s="4"/>
      <c r="BA368" s="7"/>
      <c r="BC368" s="4"/>
      <c r="BH368" s="4"/>
      <c r="BI368" s="32"/>
      <c r="BJ368" s="33"/>
      <c r="BK368" s="2"/>
      <c r="BL368" s="2"/>
    </row>
    <row r="369" spans="1:64" x14ac:dyDescent="0.55000000000000004">
      <c r="A369" s="2"/>
      <c r="B369" s="2"/>
      <c r="C369" s="2"/>
      <c r="D369" s="2"/>
      <c r="P369" s="4"/>
      <c r="AD369" s="4"/>
      <c r="BA369" s="7"/>
      <c r="BC369" s="4"/>
      <c r="BH369" s="4"/>
      <c r="BI369" s="32"/>
      <c r="BJ369" s="33"/>
      <c r="BK369" s="2"/>
      <c r="BL369" s="2"/>
    </row>
    <row r="370" spans="1:64" x14ac:dyDescent="0.55000000000000004">
      <c r="A370" s="2"/>
      <c r="B370" s="2"/>
      <c r="C370" s="2"/>
      <c r="D370" s="2"/>
      <c r="P370" s="4"/>
      <c r="AD370" s="4"/>
      <c r="BA370" s="7"/>
      <c r="BC370" s="4"/>
      <c r="BH370" s="4"/>
      <c r="BI370" s="32"/>
      <c r="BJ370" s="33"/>
      <c r="BK370" s="2"/>
      <c r="BL370" s="2"/>
    </row>
    <row r="371" spans="1:64" x14ac:dyDescent="0.55000000000000004">
      <c r="A371" s="2"/>
      <c r="B371" s="2"/>
      <c r="C371" s="2"/>
      <c r="D371" s="2"/>
      <c r="P371" s="4"/>
      <c r="AD371" s="4"/>
      <c r="BA371" s="7"/>
      <c r="BC371" s="4"/>
      <c r="BH371" s="4"/>
      <c r="BI371" s="32"/>
      <c r="BJ371" s="33"/>
      <c r="BK371" s="2"/>
      <c r="BL371" s="2"/>
    </row>
    <row r="372" spans="1:64" x14ac:dyDescent="0.55000000000000004">
      <c r="A372" s="2"/>
      <c r="B372" s="2"/>
      <c r="C372" s="2"/>
      <c r="D372" s="2"/>
      <c r="P372" s="4"/>
      <c r="AD372" s="4"/>
      <c r="BA372" s="7"/>
      <c r="BC372" s="4"/>
      <c r="BH372" s="4"/>
      <c r="BI372" s="32"/>
      <c r="BJ372" s="33"/>
      <c r="BK372" s="2"/>
      <c r="BL372" s="2"/>
    </row>
    <row r="373" spans="1:64" x14ac:dyDescent="0.55000000000000004">
      <c r="A373" s="2"/>
      <c r="B373" s="2"/>
      <c r="C373" s="2"/>
      <c r="D373" s="2"/>
      <c r="P373" s="4"/>
      <c r="AD373" s="4"/>
      <c r="BA373" s="7"/>
      <c r="BC373" s="4"/>
      <c r="BH373" s="4"/>
      <c r="BI373" s="32"/>
      <c r="BJ373" s="33"/>
      <c r="BK373" s="2"/>
      <c r="BL373" s="2"/>
    </row>
    <row r="374" spans="1:64" x14ac:dyDescent="0.55000000000000004">
      <c r="A374" s="2"/>
      <c r="B374" s="2"/>
      <c r="C374" s="2"/>
      <c r="D374" s="2"/>
      <c r="P374" s="4"/>
      <c r="AD374" s="4"/>
      <c r="BA374" s="7"/>
      <c r="BC374" s="4"/>
      <c r="BH374" s="4"/>
      <c r="BI374" s="32"/>
      <c r="BJ374" s="33"/>
      <c r="BK374" s="2"/>
      <c r="BL374" s="2"/>
    </row>
    <row r="375" spans="1:64" x14ac:dyDescent="0.55000000000000004">
      <c r="A375" s="2"/>
      <c r="B375" s="2"/>
      <c r="C375" s="2"/>
      <c r="D375" s="2"/>
      <c r="P375" s="4"/>
      <c r="AD375" s="4"/>
      <c r="BA375" s="7"/>
      <c r="BC375" s="4"/>
      <c r="BH375" s="4"/>
      <c r="BI375" s="32"/>
      <c r="BJ375" s="33"/>
      <c r="BK375" s="2"/>
      <c r="BL375" s="2"/>
    </row>
    <row r="376" spans="1:64" x14ac:dyDescent="0.55000000000000004">
      <c r="A376" s="2"/>
      <c r="B376" s="2"/>
      <c r="C376" s="2"/>
      <c r="D376" s="2"/>
      <c r="P376" s="4"/>
      <c r="AD376" s="4"/>
      <c r="BA376" s="7"/>
      <c r="BC376" s="4"/>
      <c r="BH376" s="4"/>
      <c r="BI376" s="32"/>
      <c r="BJ376" s="33"/>
      <c r="BK376" s="2"/>
      <c r="BL376" s="2"/>
    </row>
    <row r="377" spans="1:64" x14ac:dyDescent="0.55000000000000004">
      <c r="A377" s="2"/>
      <c r="B377" s="2"/>
      <c r="C377" s="2"/>
      <c r="D377" s="2"/>
      <c r="P377" s="4"/>
      <c r="AD377" s="4"/>
      <c r="BA377" s="7"/>
      <c r="BC377" s="4"/>
      <c r="BH377" s="4"/>
      <c r="BI377" s="32"/>
      <c r="BJ377" s="33"/>
      <c r="BK377" s="2"/>
      <c r="BL377" s="2"/>
    </row>
    <row r="378" spans="1:64" x14ac:dyDescent="0.55000000000000004">
      <c r="A378" s="2"/>
      <c r="B378" s="2"/>
      <c r="C378" s="2"/>
      <c r="D378" s="2"/>
      <c r="P378" s="4"/>
      <c r="AD378" s="4"/>
      <c r="BA378" s="7"/>
      <c r="BC378" s="4"/>
      <c r="BH378" s="4"/>
      <c r="BI378" s="32"/>
      <c r="BJ378" s="33"/>
      <c r="BK378" s="2"/>
      <c r="BL378" s="2"/>
    </row>
    <row r="379" spans="1:64" x14ac:dyDescent="0.55000000000000004">
      <c r="A379" s="2"/>
      <c r="B379" s="2"/>
      <c r="C379" s="2"/>
      <c r="D379" s="2"/>
      <c r="P379" s="4"/>
      <c r="AD379" s="4"/>
      <c r="BA379" s="7"/>
      <c r="BC379" s="4"/>
      <c r="BH379" s="4"/>
      <c r="BI379" s="32"/>
      <c r="BJ379" s="33"/>
      <c r="BK379" s="2"/>
      <c r="BL379" s="2"/>
    </row>
    <row r="380" spans="1:64" x14ac:dyDescent="0.55000000000000004">
      <c r="A380" s="2"/>
      <c r="B380" s="2"/>
      <c r="C380" s="2"/>
      <c r="D380" s="2"/>
      <c r="P380" s="4"/>
      <c r="AD380" s="4"/>
      <c r="BA380" s="7"/>
      <c r="BC380" s="4"/>
      <c r="BH380" s="4"/>
      <c r="BI380" s="32"/>
      <c r="BJ380" s="33"/>
      <c r="BK380" s="2"/>
      <c r="BL380" s="2"/>
    </row>
    <row r="381" spans="1:64" x14ac:dyDescent="0.55000000000000004">
      <c r="A381" s="2"/>
      <c r="B381" s="2"/>
      <c r="C381" s="2"/>
      <c r="D381" s="2"/>
      <c r="P381" s="4"/>
      <c r="AD381" s="4"/>
      <c r="BA381" s="7"/>
      <c r="BC381" s="4"/>
      <c r="BH381" s="4"/>
      <c r="BI381" s="32"/>
      <c r="BJ381" s="33"/>
      <c r="BK381" s="2"/>
      <c r="BL381" s="2"/>
    </row>
    <row r="382" spans="1:64" x14ac:dyDescent="0.55000000000000004">
      <c r="A382" s="2"/>
      <c r="B382" s="2"/>
      <c r="C382" s="2"/>
      <c r="D382" s="2"/>
      <c r="P382" s="4"/>
      <c r="AD382" s="4"/>
      <c r="BA382" s="7"/>
      <c r="BC382" s="4"/>
      <c r="BH382" s="4"/>
      <c r="BI382" s="32"/>
      <c r="BJ382" s="33"/>
      <c r="BK382" s="2"/>
      <c r="BL382" s="2"/>
    </row>
    <row r="383" spans="1:64" x14ac:dyDescent="0.55000000000000004">
      <c r="A383" s="2"/>
      <c r="B383" s="2"/>
      <c r="C383" s="2"/>
      <c r="D383" s="2"/>
      <c r="P383" s="4"/>
      <c r="AD383" s="4"/>
      <c r="BA383" s="7"/>
      <c r="BC383" s="4"/>
      <c r="BH383" s="4"/>
      <c r="BI383" s="32"/>
      <c r="BJ383" s="33"/>
      <c r="BK383" s="2"/>
      <c r="BL383" s="2"/>
    </row>
    <row r="384" spans="1:64" x14ac:dyDescent="0.55000000000000004">
      <c r="A384" s="2"/>
      <c r="B384" s="2"/>
      <c r="C384" s="2"/>
      <c r="D384" s="2"/>
      <c r="P384" s="4"/>
      <c r="AD384" s="4"/>
      <c r="BA384" s="7"/>
      <c r="BC384" s="4"/>
      <c r="BH384" s="4"/>
      <c r="BI384" s="32"/>
      <c r="BJ384" s="33"/>
      <c r="BK384" s="2"/>
      <c r="BL384" s="2"/>
    </row>
    <row r="385" spans="1:64" x14ac:dyDescent="0.55000000000000004">
      <c r="A385" s="2"/>
      <c r="B385" s="2"/>
      <c r="C385" s="2"/>
      <c r="D385" s="2"/>
      <c r="P385" s="4"/>
      <c r="AD385" s="4"/>
      <c r="BA385" s="7"/>
      <c r="BC385" s="4"/>
      <c r="BH385" s="4"/>
      <c r="BI385" s="32"/>
      <c r="BJ385" s="33"/>
      <c r="BK385" s="2"/>
      <c r="BL385" s="2"/>
    </row>
    <row r="386" spans="1:64" x14ac:dyDescent="0.55000000000000004">
      <c r="A386" s="2"/>
      <c r="B386" s="2"/>
      <c r="C386" s="2"/>
      <c r="D386" s="2"/>
      <c r="P386" s="4"/>
      <c r="AD386" s="4"/>
      <c r="BA386" s="7"/>
      <c r="BC386" s="4"/>
      <c r="BH386" s="4"/>
      <c r="BI386" s="32"/>
      <c r="BJ386" s="33"/>
      <c r="BK386" s="2"/>
      <c r="BL386" s="2"/>
    </row>
    <row r="387" spans="1:64" x14ac:dyDescent="0.55000000000000004">
      <c r="A387" s="2"/>
      <c r="B387" s="2"/>
      <c r="C387" s="2"/>
      <c r="D387" s="2"/>
      <c r="P387" s="4"/>
      <c r="AD387" s="4"/>
      <c r="BA387" s="7"/>
      <c r="BC387" s="4"/>
      <c r="BH387" s="4"/>
      <c r="BI387" s="32"/>
      <c r="BJ387" s="33"/>
      <c r="BK387" s="2"/>
      <c r="BL387" s="2"/>
    </row>
    <row r="388" spans="1:64" x14ac:dyDescent="0.55000000000000004">
      <c r="A388" s="2"/>
      <c r="B388" s="2"/>
      <c r="C388" s="2"/>
      <c r="D388" s="2"/>
      <c r="P388" s="4"/>
      <c r="AD388" s="4"/>
      <c r="BA388" s="7"/>
      <c r="BC388" s="4"/>
      <c r="BH388" s="4"/>
      <c r="BI388" s="32"/>
      <c r="BJ388" s="33"/>
      <c r="BK388" s="2"/>
      <c r="BL388" s="2"/>
    </row>
    <row r="389" spans="1:64" x14ac:dyDescent="0.55000000000000004">
      <c r="A389" s="2"/>
      <c r="B389" s="2"/>
      <c r="C389" s="2"/>
      <c r="D389" s="2"/>
      <c r="P389" s="4"/>
      <c r="AD389" s="4"/>
      <c r="BA389" s="7"/>
      <c r="BC389" s="4"/>
      <c r="BH389" s="4"/>
      <c r="BI389" s="32"/>
      <c r="BJ389" s="33"/>
      <c r="BK389" s="2"/>
      <c r="BL389" s="2"/>
    </row>
    <row r="390" spans="1:64" x14ac:dyDescent="0.55000000000000004">
      <c r="A390" s="2"/>
      <c r="B390" s="2"/>
      <c r="C390" s="2"/>
      <c r="D390" s="2"/>
      <c r="P390" s="4"/>
      <c r="AD390" s="4"/>
      <c r="BA390" s="7"/>
      <c r="BC390" s="4"/>
      <c r="BH390" s="4"/>
      <c r="BI390" s="32"/>
      <c r="BJ390" s="33"/>
      <c r="BK390" s="2"/>
      <c r="BL390" s="2"/>
    </row>
    <row r="391" spans="1:64" x14ac:dyDescent="0.55000000000000004">
      <c r="A391" s="2"/>
      <c r="B391" s="2"/>
      <c r="C391" s="2"/>
      <c r="D391" s="2"/>
      <c r="P391" s="4"/>
      <c r="AD391" s="4"/>
      <c r="BA391" s="7"/>
      <c r="BC391" s="4"/>
      <c r="BH391" s="4"/>
      <c r="BI391" s="32"/>
      <c r="BJ391" s="33"/>
      <c r="BK391" s="2"/>
      <c r="BL391" s="2"/>
    </row>
    <row r="392" spans="1:64" x14ac:dyDescent="0.55000000000000004">
      <c r="A392" s="2"/>
      <c r="B392" s="2"/>
      <c r="C392" s="2"/>
      <c r="D392" s="2"/>
      <c r="P392" s="4"/>
      <c r="AD392" s="4"/>
      <c r="BA392" s="7"/>
      <c r="BC392" s="4"/>
      <c r="BH392" s="4"/>
      <c r="BI392" s="32"/>
      <c r="BJ392" s="33"/>
      <c r="BK392" s="2"/>
      <c r="BL392" s="2"/>
    </row>
    <row r="393" spans="1:64" x14ac:dyDescent="0.55000000000000004">
      <c r="A393" s="2"/>
      <c r="B393" s="2"/>
      <c r="C393" s="2"/>
      <c r="D393" s="2"/>
      <c r="P393" s="4"/>
      <c r="AD393" s="4"/>
      <c r="BA393" s="7"/>
      <c r="BC393" s="4"/>
      <c r="BH393" s="4"/>
      <c r="BI393" s="32"/>
      <c r="BJ393" s="33"/>
      <c r="BK393" s="2"/>
      <c r="BL393" s="2"/>
    </row>
    <row r="394" spans="1:64" x14ac:dyDescent="0.55000000000000004">
      <c r="A394" s="2"/>
      <c r="B394" s="2"/>
      <c r="C394" s="2"/>
      <c r="D394" s="2"/>
      <c r="P394" s="4"/>
      <c r="AD394" s="4"/>
      <c r="BA394" s="7"/>
      <c r="BC394" s="4"/>
      <c r="BH394" s="4"/>
      <c r="BI394" s="32"/>
      <c r="BJ394" s="33"/>
      <c r="BK394" s="2"/>
      <c r="BL394" s="2"/>
    </row>
    <row r="395" spans="1:64" x14ac:dyDescent="0.55000000000000004">
      <c r="A395" s="2"/>
      <c r="B395" s="2"/>
      <c r="C395" s="2"/>
      <c r="D395" s="2"/>
      <c r="P395" s="4"/>
      <c r="AD395" s="4"/>
      <c r="BA395" s="7"/>
      <c r="BC395" s="4"/>
      <c r="BH395" s="4"/>
      <c r="BI395" s="32"/>
      <c r="BJ395" s="33"/>
      <c r="BK395" s="2"/>
      <c r="BL395" s="2"/>
    </row>
    <row r="396" spans="1:64" x14ac:dyDescent="0.55000000000000004">
      <c r="A396" s="2"/>
      <c r="B396" s="2"/>
      <c r="C396" s="2"/>
      <c r="D396" s="2"/>
      <c r="P396" s="4"/>
      <c r="AD396" s="4"/>
      <c r="BA396" s="7"/>
      <c r="BC396" s="4"/>
      <c r="BH396" s="4"/>
      <c r="BI396" s="32"/>
      <c r="BJ396" s="33"/>
      <c r="BK396" s="2"/>
      <c r="BL396" s="2"/>
    </row>
    <row r="397" spans="1:64" x14ac:dyDescent="0.55000000000000004">
      <c r="A397" s="2"/>
      <c r="B397" s="2"/>
      <c r="C397" s="2"/>
      <c r="D397" s="2"/>
      <c r="P397" s="4"/>
      <c r="AD397" s="4"/>
      <c r="BA397" s="7"/>
      <c r="BC397" s="4"/>
      <c r="BH397" s="4"/>
      <c r="BI397" s="32"/>
      <c r="BJ397" s="33"/>
      <c r="BK397" s="2"/>
      <c r="BL397" s="2"/>
    </row>
    <row r="398" spans="1:64" x14ac:dyDescent="0.55000000000000004">
      <c r="A398" s="2"/>
      <c r="B398" s="2"/>
      <c r="C398" s="2"/>
      <c r="D398" s="2"/>
      <c r="P398" s="4"/>
      <c r="AD398" s="4"/>
      <c r="BA398" s="7"/>
      <c r="BC398" s="4"/>
      <c r="BH398" s="4"/>
      <c r="BI398" s="32"/>
      <c r="BJ398" s="33"/>
      <c r="BK398" s="2"/>
      <c r="BL398" s="2"/>
    </row>
    <row r="399" spans="1:64" x14ac:dyDescent="0.55000000000000004">
      <c r="A399" s="2"/>
      <c r="B399" s="2"/>
      <c r="C399" s="2"/>
      <c r="D399" s="2"/>
      <c r="P399" s="4"/>
      <c r="AD399" s="4"/>
      <c r="BA399" s="7"/>
      <c r="BC399" s="4"/>
      <c r="BH399" s="4"/>
      <c r="BI399" s="32"/>
      <c r="BJ399" s="33"/>
      <c r="BK399" s="2"/>
      <c r="BL399" s="2"/>
    </row>
    <row r="400" spans="1:64" x14ac:dyDescent="0.55000000000000004">
      <c r="A400" s="2"/>
      <c r="B400" s="2"/>
      <c r="C400" s="2"/>
      <c r="D400" s="2"/>
      <c r="P400" s="4"/>
      <c r="AD400" s="4"/>
      <c r="BA400" s="7"/>
      <c r="BC400" s="4"/>
      <c r="BH400" s="4"/>
      <c r="BI400" s="32"/>
      <c r="BJ400" s="33"/>
      <c r="BK400" s="2"/>
      <c r="BL400" s="2"/>
    </row>
    <row r="401" spans="1:64" x14ac:dyDescent="0.55000000000000004">
      <c r="A401" s="2"/>
      <c r="B401" s="2"/>
      <c r="C401" s="2"/>
      <c r="D401" s="2"/>
      <c r="P401" s="4"/>
      <c r="AD401" s="4"/>
      <c r="BA401" s="7"/>
      <c r="BC401" s="4"/>
      <c r="BH401" s="4"/>
      <c r="BI401" s="32"/>
      <c r="BJ401" s="33"/>
      <c r="BK401" s="2"/>
      <c r="BL401" s="2"/>
    </row>
    <row r="402" spans="1:64" x14ac:dyDescent="0.55000000000000004">
      <c r="A402" s="2"/>
      <c r="B402" s="2"/>
      <c r="C402" s="2"/>
      <c r="D402" s="2"/>
      <c r="P402" s="4"/>
      <c r="AD402" s="4"/>
      <c r="BA402" s="7"/>
      <c r="BC402" s="4"/>
      <c r="BH402" s="4"/>
      <c r="BI402" s="32"/>
      <c r="BJ402" s="33"/>
      <c r="BK402" s="2"/>
      <c r="BL402" s="2"/>
    </row>
    <row r="403" spans="1:64" x14ac:dyDescent="0.55000000000000004">
      <c r="A403" s="2"/>
      <c r="B403" s="2"/>
      <c r="C403" s="2"/>
      <c r="D403" s="2"/>
      <c r="P403" s="4"/>
      <c r="AD403" s="4"/>
      <c r="BA403" s="7"/>
      <c r="BC403" s="4"/>
      <c r="BH403" s="4"/>
      <c r="BI403" s="32"/>
      <c r="BJ403" s="33"/>
      <c r="BK403" s="2"/>
      <c r="BL403" s="2"/>
    </row>
    <row r="404" spans="1:64" x14ac:dyDescent="0.55000000000000004">
      <c r="A404" s="2"/>
      <c r="B404" s="2"/>
      <c r="C404" s="2"/>
      <c r="D404" s="2"/>
      <c r="P404" s="4"/>
      <c r="AD404" s="4"/>
      <c r="BA404" s="7"/>
      <c r="BC404" s="4"/>
      <c r="BH404" s="4"/>
      <c r="BI404" s="32"/>
      <c r="BJ404" s="33"/>
      <c r="BK404" s="2"/>
      <c r="BL404" s="2"/>
    </row>
    <row r="405" spans="1:64" x14ac:dyDescent="0.55000000000000004">
      <c r="A405" s="2"/>
      <c r="B405" s="2"/>
      <c r="C405" s="2"/>
      <c r="D405" s="2"/>
      <c r="P405" s="4"/>
      <c r="AD405" s="4"/>
      <c r="BA405" s="7"/>
      <c r="BC405" s="4"/>
      <c r="BH405" s="4"/>
      <c r="BI405" s="32"/>
      <c r="BJ405" s="33"/>
      <c r="BK405" s="2"/>
      <c r="BL405" s="2"/>
    </row>
    <row r="406" spans="1:64" x14ac:dyDescent="0.55000000000000004">
      <c r="A406" s="2"/>
      <c r="B406" s="2"/>
      <c r="C406" s="2"/>
      <c r="D406" s="2"/>
      <c r="P406" s="4"/>
      <c r="AD406" s="4"/>
      <c r="BA406" s="7"/>
      <c r="BC406" s="4"/>
      <c r="BH406" s="4"/>
      <c r="BI406" s="32"/>
      <c r="BJ406" s="33"/>
      <c r="BK406" s="2"/>
      <c r="BL406" s="2"/>
    </row>
    <row r="407" spans="1:64" x14ac:dyDescent="0.55000000000000004">
      <c r="A407" s="2"/>
      <c r="B407" s="2"/>
      <c r="C407" s="2"/>
      <c r="D407" s="2"/>
      <c r="P407" s="4"/>
      <c r="AD407" s="4"/>
      <c r="BA407" s="7"/>
      <c r="BC407" s="4"/>
      <c r="BH407" s="4"/>
      <c r="BI407" s="32"/>
      <c r="BJ407" s="33"/>
      <c r="BK407" s="2"/>
      <c r="BL407" s="2"/>
    </row>
    <row r="408" spans="1:64" x14ac:dyDescent="0.55000000000000004">
      <c r="A408" s="2"/>
      <c r="B408" s="2"/>
      <c r="C408" s="2"/>
      <c r="D408" s="2"/>
      <c r="P408" s="4"/>
      <c r="AD408" s="4"/>
      <c r="BA408" s="7"/>
      <c r="BC408" s="4"/>
      <c r="BH408" s="4"/>
      <c r="BI408" s="32"/>
      <c r="BJ408" s="33"/>
      <c r="BK408" s="2"/>
      <c r="BL408" s="2"/>
    </row>
    <row r="409" spans="1:64" x14ac:dyDescent="0.55000000000000004">
      <c r="A409" s="2"/>
      <c r="B409" s="2"/>
      <c r="C409" s="2"/>
      <c r="D409" s="2"/>
      <c r="P409" s="4"/>
      <c r="AD409" s="4"/>
      <c r="BA409" s="7"/>
      <c r="BC409" s="4"/>
      <c r="BH409" s="4"/>
      <c r="BI409" s="32"/>
      <c r="BJ409" s="33"/>
      <c r="BK409" s="2"/>
      <c r="BL409" s="2"/>
    </row>
    <row r="410" spans="1:64" x14ac:dyDescent="0.55000000000000004">
      <c r="A410" s="2"/>
      <c r="B410" s="2"/>
      <c r="C410" s="2"/>
      <c r="D410" s="2"/>
      <c r="P410" s="4"/>
      <c r="AD410" s="4"/>
      <c r="BA410" s="7"/>
      <c r="BC410" s="4"/>
      <c r="BH410" s="4"/>
      <c r="BI410" s="32"/>
      <c r="BJ410" s="33"/>
      <c r="BK410" s="2"/>
      <c r="BL410" s="2"/>
    </row>
    <row r="411" spans="1:64" x14ac:dyDescent="0.55000000000000004">
      <c r="A411" s="2"/>
      <c r="B411" s="2"/>
      <c r="C411" s="2"/>
      <c r="D411" s="2"/>
      <c r="P411" s="4"/>
      <c r="AD411" s="4"/>
      <c r="BA411" s="7"/>
      <c r="BC411" s="4"/>
      <c r="BH411" s="4"/>
      <c r="BI411" s="32"/>
      <c r="BJ411" s="33"/>
      <c r="BK411" s="2"/>
      <c r="BL411" s="2"/>
    </row>
    <row r="412" spans="1:64" x14ac:dyDescent="0.55000000000000004">
      <c r="A412" s="2"/>
      <c r="B412" s="2"/>
      <c r="C412" s="2"/>
      <c r="D412" s="2"/>
      <c r="P412" s="4"/>
      <c r="AD412" s="4"/>
      <c r="BA412" s="7"/>
      <c r="BC412" s="4"/>
      <c r="BH412" s="4"/>
      <c r="BI412" s="32"/>
      <c r="BJ412" s="33"/>
      <c r="BK412" s="2"/>
      <c r="BL412" s="2"/>
    </row>
    <row r="413" spans="1:64" x14ac:dyDescent="0.55000000000000004">
      <c r="A413" s="2"/>
      <c r="B413" s="2"/>
      <c r="C413" s="2"/>
      <c r="D413" s="2"/>
      <c r="P413" s="4"/>
      <c r="AD413" s="4"/>
      <c r="BA413" s="7"/>
      <c r="BC413" s="4"/>
      <c r="BH413" s="4"/>
      <c r="BI413" s="32"/>
      <c r="BJ413" s="33"/>
      <c r="BK413" s="2"/>
      <c r="BL413" s="2"/>
    </row>
    <row r="414" spans="1:64" x14ac:dyDescent="0.55000000000000004">
      <c r="A414" s="2"/>
      <c r="B414" s="2"/>
      <c r="C414" s="2"/>
      <c r="D414" s="2"/>
      <c r="P414" s="4"/>
      <c r="AD414" s="4"/>
      <c r="BA414" s="7"/>
      <c r="BC414" s="4"/>
      <c r="BH414" s="4"/>
      <c r="BI414" s="32"/>
      <c r="BJ414" s="33"/>
      <c r="BK414" s="2"/>
      <c r="BL414" s="2"/>
    </row>
    <row r="415" spans="1:64" x14ac:dyDescent="0.55000000000000004">
      <c r="A415" s="2"/>
      <c r="B415" s="2"/>
      <c r="C415" s="2"/>
      <c r="D415" s="2"/>
      <c r="P415" s="4"/>
      <c r="AD415" s="4"/>
      <c r="BA415" s="7"/>
      <c r="BC415" s="4"/>
      <c r="BH415" s="4"/>
      <c r="BI415" s="32"/>
      <c r="BJ415" s="33"/>
      <c r="BK415" s="2"/>
      <c r="BL415" s="2"/>
    </row>
    <row r="416" spans="1:64" x14ac:dyDescent="0.55000000000000004">
      <c r="A416" s="2"/>
      <c r="B416" s="2"/>
      <c r="C416" s="2"/>
      <c r="D416" s="2"/>
      <c r="P416" s="4"/>
      <c r="AD416" s="4"/>
      <c r="BA416" s="7"/>
      <c r="BC416" s="4"/>
      <c r="BH416" s="4"/>
      <c r="BI416" s="32"/>
      <c r="BJ416" s="33"/>
      <c r="BK416" s="2"/>
      <c r="BL416" s="2"/>
    </row>
    <row r="417" spans="1:64" x14ac:dyDescent="0.55000000000000004">
      <c r="A417" s="2"/>
      <c r="B417" s="2"/>
      <c r="C417" s="2"/>
      <c r="D417" s="2"/>
      <c r="P417" s="4"/>
      <c r="AD417" s="4"/>
      <c r="BA417" s="7"/>
      <c r="BC417" s="4"/>
      <c r="BH417" s="4"/>
      <c r="BI417" s="32"/>
      <c r="BJ417" s="33"/>
      <c r="BK417" s="2"/>
      <c r="BL417" s="2"/>
    </row>
    <row r="418" spans="1:64" x14ac:dyDescent="0.55000000000000004">
      <c r="A418" s="2"/>
      <c r="B418" s="2"/>
      <c r="C418" s="2"/>
      <c r="D418" s="2"/>
      <c r="P418" s="4"/>
      <c r="AD418" s="4"/>
      <c r="BA418" s="7"/>
      <c r="BC418" s="4"/>
      <c r="BH418" s="4"/>
      <c r="BI418" s="32"/>
      <c r="BJ418" s="33"/>
      <c r="BK418" s="2"/>
      <c r="BL418" s="2"/>
    </row>
    <row r="419" spans="1:64" x14ac:dyDescent="0.55000000000000004">
      <c r="A419" s="2"/>
      <c r="B419" s="2"/>
      <c r="C419" s="2"/>
      <c r="D419" s="2"/>
      <c r="P419" s="4"/>
      <c r="AD419" s="4"/>
      <c r="BA419" s="7"/>
      <c r="BC419" s="4"/>
      <c r="BH419" s="4"/>
      <c r="BI419" s="32"/>
      <c r="BJ419" s="33"/>
      <c r="BK419" s="2"/>
      <c r="BL419" s="2"/>
    </row>
    <row r="420" spans="1:64" x14ac:dyDescent="0.55000000000000004">
      <c r="A420" s="2"/>
      <c r="B420" s="2"/>
      <c r="C420" s="2"/>
      <c r="D420" s="2"/>
      <c r="P420" s="4"/>
      <c r="AD420" s="4"/>
      <c r="BA420" s="7"/>
      <c r="BC420" s="4"/>
      <c r="BH420" s="4"/>
      <c r="BI420" s="32"/>
      <c r="BJ420" s="33"/>
      <c r="BK420" s="2"/>
      <c r="BL420" s="2"/>
    </row>
    <row r="421" spans="1:64" x14ac:dyDescent="0.55000000000000004">
      <c r="A421" s="2"/>
      <c r="B421" s="2"/>
      <c r="C421" s="2"/>
      <c r="D421" s="2"/>
      <c r="P421" s="4"/>
      <c r="AD421" s="4"/>
      <c r="BA421" s="7"/>
      <c r="BC421" s="4"/>
      <c r="BH421" s="4"/>
      <c r="BI421" s="32"/>
      <c r="BJ421" s="33"/>
      <c r="BK421" s="2"/>
      <c r="BL421" s="2"/>
    </row>
    <row r="422" spans="1:64" x14ac:dyDescent="0.55000000000000004">
      <c r="A422" s="2"/>
      <c r="B422" s="2"/>
      <c r="C422" s="2"/>
      <c r="D422" s="2"/>
      <c r="P422" s="4"/>
      <c r="AD422" s="4"/>
      <c r="BA422" s="7"/>
      <c r="BC422" s="4"/>
      <c r="BH422" s="4"/>
      <c r="BI422" s="32"/>
      <c r="BJ422" s="33"/>
      <c r="BK422" s="2"/>
      <c r="BL422" s="2"/>
    </row>
    <row r="423" spans="1:64" x14ac:dyDescent="0.55000000000000004">
      <c r="A423" s="2"/>
      <c r="B423" s="2"/>
      <c r="C423" s="2"/>
      <c r="D423" s="2"/>
      <c r="P423" s="4"/>
      <c r="AD423" s="4"/>
      <c r="BA423" s="7"/>
      <c r="BC423" s="4"/>
      <c r="BH423" s="4"/>
      <c r="BI423" s="32"/>
      <c r="BJ423" s="33"/>
      <c r="BK423" s="2"/>
      <c r="BL423" s="2"/>
    </row>
    <row r="424" spans="1:64" x14ac:dyDescent="0.55000000000000004">
      <c r="A424" s="2"/>
      <c r="B424" s="2"/>
      <c r="C424" s="2"/>
      <c r="D424" s="2"/>
      <c r="P424" s="4"/>
      <c r="AD424" s="4"/>
      <c r="BA424" s="7"/>
      <c r="BC424" s="4"/>
      <c r="BH424" s="4"/>
      <c r="BI424" s="32"/>
      <c r="BJ424" s="33"/>
      <c r="BK424" s="2"/>
      <c r="BL424" s="2"/>
    </row>
    <row r="425" spans="1:64" x14ac:dyDescent="0.55000000000000004">
      <c r="A425" s="2"/>
      <c r="B425" s="2"/>
      <c r="C425" s="2"/>
      <c r="D425" s="2"/>
      <c r="P425" s="4"/>
      <c r="AD425" s="4"/>
      <c r="BA425" s="7"/>
      <c r="BC425" s="4"/>
      <c r="BH425" s="4"/>
      <c r="BI425" s="32"/>
      <c r="BJ425" s="33"/>
      <c r="BK425" s="2"/>
      <c r="BL425" s="2"/>
    </row>
    <row r="426" spans="1:64" x14ac:dyDescent="0.55000000000000004">
      <c r="A426" s="2"/>
      <c r="B426" s="2"/>
      <c r="C426" s="2"/>
      <c r="D426" s="2"/>
      <c r="P426" s="4"/>
      <c r="AD426" s="4"/>
      <c r="BA426" s="7"/>
      <c r="BC426" s="4"/>
      <c r="BH426" s="4"/>
      <c r="BI426" s="32"/>
      <c r="BJ426" s="33"/>
      <c r="BK426" s="2"/>
      <c r="BL426" s="2"/>
    </row>
    <row r="427" spans="1:64" x14ac:dyDescent="0.55000000000000004">
      <c r="A427" s="2"/>
      <c r="B427" s="2"/>
      <c r="C427" s="2"/>
      <c r="D427" s="2"/>
      <c r="P427" s="4"/>
      <c r="AD427" s="4"/>
      <c r="BA427" s="7"/>
      <c r="BC427" s="4"/>
      <c r="BH427" s="4"/>
      <c r="BI427" s="32"/>
      <c r="BJ427" s="33"/>
      <c r="BK427" s="2"/>
      <c r="BL427" s="2"/>
    </row>
    <row r="428" spans="1:64" x14ac:dyDescent="0.55000000000000004">
      <c r="A428" s="2"/>
      <c r="B428" s="2"/>
      <c r="C428" s="2"/>
      <c r="D428" s="2"/>
      <c r="P428" s="4"/>
      <c r="AD428" s="4"/>
      <c r="BA428" s="7"/>
      <c r="BC428" s="4"/>
      <c r="BH428" s="4"/>
      <c r="BI428" s="32"/>
      <c r="BJ428" s="33"/>
      <c r="BK428" s="2"/>
      <c r="BL428" s="2"/>
    </row>
    <row r="429" spans="1:64" x14ac:dyDescent="0.55000000000000004">
      <c r="A429" s="2"/>
      <c r="B429" s="2"/>
      <c r="C429" s="2"/>
      <c r="D429" s="2"/>
      <c r="P429" s="4"/>
      <c r="AD429" s="4"/>
      <c r="BA429" s="7"/>
      <c r="BC429" s="4"/>
      <c r="BH429" s="4"/>
      <c r="BI429" s="32"/>
      <c r="BJ429" s="33"/>
      <c r="BK429" s="2"/>
      <c r="BL429" s="2"/>
    </row>
    <row r="430" spans="1:64" x14ac:dyDescent="0.55000000000000004">
      <c r="A430" s="2"/>
      <c r="B430" s="2"/>
      <c r="C430" s="2"/>
      <c r="D430" s="2"/>
      <c r="P430" s="4"/>
      <c r="AD430" s="4"/>
      <c r="BA430" s="7"/>
      <c r="BC430" s="4"/>
      <c r="BH430" s="4"/>
      <c r="BI430" s="32"/>
      <c r="BJ430" s="33"/>
      <c r="BK430" s="2"/>
      <c r="BL430" s="2"/>
    </row>
    <row r="431" spans="1:64" x14ac:dyDescent="0.55000000000000004">
      <c r="A431" s="2"/>
      <c r="B431" s="2"/>
      <c r="C431" s="2"/>
      <c r="D431" s="2"/>
      <c r="P431" s="4"/>
      <c r="AD431" s="4"/>
      <c r="BA431" s="7"/>
      <c r="BC431" s="4"/>
      <c r="BH431" s="4"/>
      <c r="BI431" s="32"/>
      <c r="BJ431" s="33"/>
      <c r="BK431" s="2"/>
      <c r="BL431" s="2"/>
    </row>
    <row r="432" spans="1:64" x14ac:dyDescent="0.55000000000000004">
      <c r="A432" s="2"/>
      <c r="B432" s="2"/>
      <c r="C432" s="2"/>
      <c r="D432" s="2"/>
      <c r="P432" s="4"/>
      <c r="AD432" s="4"/>
      <c r="BA432" s="7"/>
      <c r="BC432" s="4"/>
      <c r="BH432" s="4"/>
      <c r="BI432" s="32"/>
      <c r="BJ432" s="33"/>
      <c r="BK432" s="2"/>
      <c r="BL432" s="2"/>
    </row>
    <row r="433" spans="1:64" x14ac:dyDescent="0.55000000000000004">
      <c r="A433" s="2"/>
      <c r="B433" s="2"/>
      <c r="C433" s="2"/>
      <c r="D433" s="2"/>
      <c r="P433" s="4"/>
      <c r="AD433" s="4"/>
      <c r="BA433" s="7"/>
      <c r="BC433" s="4"/>
      <c r="BH433" s="4"/>
      <c r="BI433" s="32"/>
      <c r="BJ433" s="33"/>
      <c r="BK433" s="2"/>
      <c r="BL433" s="2"/>
    </row>
    <row r="434" spans="1:64" x14ac:dyDescent="0.55000000000000004">
      <c r="A434" s="2"/>
      <c r="B434" s="2"/>
      <c r="C434" s="2"/>
      <c r="D434" s="2"/>
      <c r="P434" s="4"/>
      <c r="AD434" s="4"/>
      <c r="BA434" s="7"/>
      <c r="BC434" s="4"/>
      <c r="BH434" s="4"/>
      <c r="BI434" s="32"/>
      <c r="BJ434" s="33"/>
      <c r="BK434" s="2"/>
      <c r="BL434" s="2"/>
    </row>
    <row r="435" spans="1:64" x14ac:dyDescent="0.55000000000000004">
      <c r="A435" s="2"/>
      <c r="B435" s="2"/>
      <c r="C435" s="2"/>
      <c r="D435" s="2"/>
      <c r="P435" s="4"/>
      <c r="AD435" s="4"/>
      <c r="BA435" s="7"/>
      <c r="BC435" s="4"/>
      <c r="BH435" s="4"/>
      <c r="BI435" s="32"/>
      <c r="BJ435" s="33"/>
      <c r="BK435" s="2"/>
      <c r="BL435" s="2"/>
    </row>
    <row r="436" spans="1:64" x14ac:dyDescent="0.55000000000000004">
      <c r="A436" s="2"/>
      <c r="B436" s="2"/>
      <c r="C436" s="2"/>
      <c r="D436" s="2"/>
      <c r="P436" s="4"/>
      <c r="AD436" s="4"/>
      <c r="BA436" s="7"/>
      <c r="BC436" s="4"/>
      <c r="BH436" s="4"/>
      <c r="BI436" s="32"/>
      <c r="BJ436" s="33"/>
      <c r="BK436" s="2"/>
      <c r="BL436" s="2"/>
    </row>
    <row r="437" spans="1:64" x14ac:dyDescent="0.55000000000000004">
      <c r="A437" s="2"/>
      <c r="B437" s="2"/>
      <c r="C437" s="2"/>
      <c r="D437" s="2"/>
      <c r="P437" s="4"/>
      <c r="AD437" s="4"/>
      <c r="BA437" s="7"/>
      <c r="BC437" s="4"/>
      <c r="BH437" s="4"/>
      <c r="BI437" s="32"/>
      <c r="BJ437" s="33"/>
      <c r="BK437" s="2"/>
      <c r="BL437" s="2"/>
    </row>
    <row r="438" spans="1:64" x14ac:dyDescent="0.55000000000000004">
      <c r="A438" s="2"/>
      <c r="B438" s="2"/>
      <c r="C438" s="2"/>
      <c r="D438" s="2"/>
      <c r="P438" s="4"/>
      <c r="AD438" s="4"/>
      <c r="BA438" s="7"/>
      <c r="BC438" s="4"/>
      <c r="BH438" s="4"/>
      <c r="BI438" s="32"/>
      <c r="BJ438" s="33"/>
      <c r="BK438" s="2"/>
      <c r="BL438" s="2"/>
    </row>
    <row r="439" spans="1:64" x14ac:dyDescent="0.55000000000000004">
      <c r="A439" s="2"/>
      <c r="B439" s="2"/>
      <c r="C439" s="2"/>
      <c r="D439" s="2"/>
      <c r="P439" s="4"/>
      <c r="AD439" s="4"/>
      <c r="BA439" s="7"/>
      <c r="BC439" s="4"/>
      <c r="BH439" s="4"/>
      <c r="BI439" s="32"/>
      <c r="BJ439" s="33"/>
      <c r="BK439" s="2"/>
      <c r="BL439" s="2"/>
    </row>
    <row r="440" spans="1:64" x14ac:dyDescent="0.55000000000000004">
      <c r="A440" s="2"/>
      <c r="B440" s="2"/>
      <c r="C440" s="2"/>
      <c r="D440" s="2"/>
      <c r="P440" s="4"/>
      <c r="AD440" s="4"/>
      <c r="BA440" s="7"/>
      <c r="BC440" s="4"/>
      <c r="BH440" s="4"/>
      <c r="BI440" s="32"/>
      <c r="BJ440" s="33"/>
      <c r="BK440" s="2"/>
      <c r="BL440" s="2"/>
    </row>
    <row r="441" spans="1:64" x14ac:dyDescent="0.55000000000000004">
      <c r="A441" s="2"/>
      <c r="B441" s="2"/>
      <c r="C441" s="2"/>
      <c r="D441" s="2"/>
      <c r="P441" s="4"/>
      <c r="AD441" s="4"/>
      <c r="BA441" s="7"/>
      <c r="BC441" s="4"/>
      <c r="BH441" s="4"/>
      <c r="BI441" s="32"/>
      <c r="BJ441" s="33"/>
      <c r="BK441" s="2"/>
      <c r="BL441" s="2"/>
    </row>
    <row r="442" spans="1:64" x14ac:dyDescent="0.55000000000000004">
      <c r="A442" s="2"/>
      <c r="B442" s="2"/>
      <c r="C442" s="2"/>
      <c r="D442" s="2"/>
      <c r="P442" s="4"/>
      <c r="AD442" s="4"/>
      <c r="BA442" s="7"/>
      <c r="BC442" s="4"/>
      <c r="BH442" s="4"/>
      <c r="BI442" s="32"/>
      <c r="BJ442" s="33"/>
      <c r="BK442" s="2"/>
      <c r="BL442" s="2"/>
    </row>
    <row r="443" spans="1:64" x14ac:dyDescent="0.55000000000000004">
      <c r="A443" s="2"/>
      <c r="B443" s="2"/>
      <c r="C443" s="2"/>
      <c r="D443" s="2"/>
      <c r="P443" s="4"/>
      <c r="AD443" s="4"/>
      <c r="BA443" s="7"/>
      <c r="BC443" s="4"/>
      <c r="BH443" s="4"/>
      <c r="BI443" s="32"/>
      <c r="BJ443" s="33"/>
      <c r="BK443" s="2"/>
      <c r="BL443" s="2"/>
    </row>
    <row r="444" spans="1:64" x14ac:dyDescent="0.55000000000000004">
      <c r="A444" s="2"/>
      <c r="B444" s="2"/>
      <c r="C444" s="2"/>
      <c r="D444" s="2"/>
      <c r="P444" s="4"/>
      <c r="AD444" s="4"/>
      <c r="BA444" s="7"/>
      <c r="BC444" s="4"/>
      <c r="BH444" s="4"/>
      <c r="BI444" s="32"/>
      <c r="BJ444" s="33"/>
      <c r="BK444" s="2"/>
      <c r="BL444" s="2"/>
    </row>
    <row r="445" spans="1:64" x14ac:dyDescent="0.55000000000000004">
      <c r="A445" s="2"/>
      <c r="B445" s="2"/>
      <c r="C445" s="2"/>
      <c r="D445" s="2"/>
      <c r="P445" s="4"/>
      <c r="AD445" s="4"/>
      <c r="BA445" s="7"/>
      <c r="BC445" s="4"/>
      <c r="BH445" s="4"/>
      <c r="BI445" s="32"/>
      <c r="BJ445" s="33"/>
      <c r="BK445" s="2"/>
      <c r="BL445" s="2"/>
    </row>
    <row r="446" spans="1:64" x14ac:dyDescent="0.55000000000000004">
      <c r="A446" s="2"/>
      <c r="B446" s="2"/>
      <c r="C446" s="2"/>
      <c r="D446" s="2"/>
      <c r="P446" s="4"/>
      <c r="AD446" s="4"/>
      <c r="BA446" s="7"/>
      <c r="BC446" s="4"/>
      <c r="BH446" s="4"/>
      <c r="BI446" s="32"/>
      <c r="BJ446" s="33"/>
      <c r="BK446" s="2"/>
      <c r="BL446" s="2"/>
    </row>
    <row r="447" spans="1:64" x14ac:dyDescent="0.55000000000000004">
      <c r="A447" s="2"/>
      <c r="B447" s="2"/>
      <c r="C447" s="2"/>
      <c r="D447" s="2"/>
      <c r="P447" s="4"/>
      <c r="AD447" s="4"/>
      <c r="BA447" s="7"/>
      <c r="BC447" s="4"/>
      <c r="BH447" s="4"/>
      <c r="BI447" s="32"/>
      <c r="BJ447" s="33"/>
      <c r="BK447" s="2"/>
      <c r="BL447" s="2"/>
    </row>
    <row r="448" spans="1:64" x14ac:dyDescent="0.55000000000000004">
      <c r="A448" s="2"/>
      <c r="B448" s="2"/>
      <c r="C448" s="2"/>
      <c r="D448" s="2"/>
      <c r="P448" s="4"/>
      <c r="AD448" s="4"/>
      <c r="BA448" s="7"/>
      <c r="BC448" s="4"/>
      <c r="BH448" s="4"/>
      <c r="BI448" s="32"/>
      <c r="BJ448" s="33"/>
      <c r="BK448" s="2"/>
      <c r="BL448" s="2"/>
    </row>
    <row r="449" spans="1:64" x14ac:dyDescent="0.55000000000000004">
      <c r="A449" s="2"/>
      <c r="B449" s="2"/>
      <c r="C449" s="2"/>
      <c r="D449" s="2"/>
      <c r="P449" s="4"/>
      <c r="AD449" s="4"/>
      <c r="BA449" s="7"/>
      <c r="BC449" s="4"/>
      <c r="BH449" s="4"/>
      <c r="BI449" s="32"/>
      <c r="BJ449" s="33"/>
      <c r="BK449" s="2"/>
      <c r="BL449" s="2"/>
    </row>
    <row r="450" spans="1:64" x14ac:dyDescent="0.55000000000000004">
      <c r="A450" s="2"/>
      <c r="B450" s="2"/>
      <c r="C450" s="2"/>
      <c r="D450" s="2"/>
      <c r="P450" s="4"/>
      <c r="AD450" s="4"/>
      <c r="BA450" s="7"/>
      <c r="BC450" s="4"/>
      <c r="BH450" s="4"/>
      <c r="BI450" s="32"/>
      <c r="BJ450" s="33"/>
      <c r="BK450" s="2"/>
      <c r="BL450" s="2"/>
    </row>
    <row r="451" spans="1:64" x14ac:dyDescent="0.55000000000000004">
      <c r="A451" s="2"/>
      <c r="B451" s="2"/>
      <c r="C451" s="2"/>
      <c r="D451" s="2"/>
      <c r="P451" s="4"/>
      <c r="AD451" s="4"/>
      <c r="BA451" s="7"/>
      <c r="BC451" s="4"/>
      <c r="BH451" s="4"/>
      <c r="BI451" s="32"/>
      <c r="BJ451" s="33"/>
      <c r="BK451" s="2"/>
      <c r="BL451" s="2"/>
    </row>
    <row r="452" spans="1:64" x14ac:dyDescent="0.55000000000000004">
      <c r="A452" s="2"/>
      <c r="B452" s="2"/>
      <c r="C452" s="2"/>
      <c r="D452" s="2"/>
      <c r="P452" s="4"/>
      <c r="AD452" s="4"/>
      <c r="BA452" s="7"/>
      <c r="BC452" s="4"/>
      <c r="BH452" s="4"/>
      <c r="BI452" s="32"/>
      <c r="BJ452" s="33"/>
      <c r="BK452" s="2"/>
      <c r="BL452" s="2"/>
    </row>
    <row r="453" spans="1:64" x14ac:dyDescent="0.55000000000000004">
      <c r="A453" s="2"/>
      <c r="B453" s="2"/>
      <c r="C453" s="2"/>
      <c r="D453" s="2"/>
      <c r="P453" s="4"/>
      <c r="AD453" s="4"/>
      <c r="BA453" s="7"/>
      <c r="BC453" s="4"/>
      <c r="BH453" s="4"/>
      <c r="BI453" s="32"/>
      <c r="BJ453" s="33"/>
      <c r="BK453" s="2"/>
      <c r="BL453" s="2"/>
    </row>
    <row r="454" spans="1:64" x14ac:dyDescent="0.55000000000000004">
      <c r="A454" s="2"/>
      <c r="B454" s="2"/>
      <c r="C454" s="2"/>
      <c r="D454" s="2"/>
      <c r="P454" s="4"/>
      <c r="AD454" s="4"/>
      <c r="BA454" s="7"/>
      <c r="BC454" s="4"/>
      <c r="BH454" s="4"/>
      <c r="BI454" s="32"/>
      <c r="BJ454" s="33"/>
      <c r="BK454" s="2"/>
      <c r="BL454" s="2"/>
    </row>
    <row r="455" spans="1:64" x14ac:dyDescent="0.55000000000000004">
      <c r="A455" s="2"/>
      <c r="B455" s="2"/>
      <c r="C455" s="2"/>
      <c r="D455" s="2"/>
      <c r="P455" s="4"/>
      <c r="AD455" s="4"/>
      <c r="BA455" s="7"/>
      <c r="BC455" s="4"/>
      <c r="BH455" s="4"/>
      <c r="BI455" s="32"/>
      <c r="BJ455" s="33"/>
      <c r="BK455" s="2"/>
      <c r="BL455" s="2"/>
    </row>
    <row r="456" spans="1:64" x14ac:dyDescent="0.55000000000000004">
      <c r="A456" s="2"/>
      <c r="B456" s="2"/>
      <c r="C456" s="2"/>
      <c r="D456" s="2"/>
      <c r="P456" s="4"/>
      <c r="AD456" s="4"/>
      <c r="BA456" s="7"/>
      <c r="BC456" s="4"/>
      <c r="BH456" s="4"/>
      <c r="BI456" s="32"/>
      <c r="BJ456" s="33"/>
      <c r="BK456" s="2"/>
      <c r="BL456" s="2"/>
    </row>
    <row r="457" spans="1:64" x14ac:dyDescent="0.55000000000000004">
      <c r="A457" s="2"/>
      <c r="B457" s="2"/>
      <c r="C457" s="2"/>
      <c r="D457" s="2"/>
      <c r="P457" s="4"/>
      <c r="AD457" s="4"/>
      <c r="BA457" s="7"/>
      <c r="BC457" s="4"/>
      <c r="BH457" s="4"/>
      <c r="BI457" s="32"/>
      <c r="BJ457" s="33"/>
      <c r="BK457" s="2"/>
      <c r="BL457" s="2"/>
    </row>
    <row r="458" spans="1:64" x14ac:dyDescent="0.55000000000000004">
      <c r="A458" s="2"/>
      <c r="B458" s="2"/>
      <c r="C458" s="2"/>
      <c r="D458" s="2"/>
      <c r="P458" s="4"/>
      <c r="AD458" s="4"/>
      <c r="BA458" s="7"/>
      <c r="BC458" s="4"/>
      <c r="BH458" s="4"/>
      <c r="BI458" s="32"/>
      <c r="BJ458" s="33"/>
      <c r="BK458" s="2"/>
      <c r="BL458" s="2"/>
    </row>
    <row r="459" spans="1:64" x14ac:dyDescent="0.55000000000000004">
      <c r="A459" s="2"/>
      <c r="B459" s="2"/>
      <c r="C459" s="2"/>
      <c r="D459" s="2"/>
      <c r="P459" s="4"/>
      <c r="AD459" s="4"/>
      <c r="BA459" s="7"/>
      <c r="BC459" s="4"/>
      <c r="BH459" s="4"/>
      <c r="BI459" s="32"/>
      <c r="BJ459" s="33"/>
      <c r="BK459" s="2"/>
      <c r="BL459" s="2"/>
    </row>
    <row r="460" spans="1:64" x14ac:dyDescent="0.55000000000000004">
      <c r="A460" s="2"/>
      <c r="B460" s="2"/>
      <c r="C460" s="2"/>
      <c r="D460" s="2"/>
      <c r="P460" s="4"/>
      <c r="AD460" s="4"/>
      <c r="BA460" s="7"/>
      <c r="BC460" s="4"/>
      <c r="BH460" s="4"/>
      <c r="BI460" s="32"/>
      <c r="BJ460" s="33"/>
      <c r="BK460" s="2"/>
      <c r="BL460" s="2"/>
    </row>
    <row r="461" spans="1:64" x14ac:dyDescent="0.55000000000000004">
      <c r="A461" s="2"/>
      <c r="B461" s="2"/>
      <c r="C461" s="2"/>
      <c r="D461" s="2"/>
      <c r="P461" s="4"/>
      <c r="AD461" s="4"/>
      <c r="BA461" s="7"/>
      <c r="BC461" s="4"/>
      <c r="BH461" s="4"/>
      <c r="BI461" s="32"/>
      <c r="BJ461" s="33"/>
      <c r="BK461" s="2"/>
      <c r="BL461" s="2"/>
    </row>
    <row r="462" spans="1:64" x14ac:dyDescent="0.55000000000000004">
      <c r="A462" s="2"/>
      <c r="B462" s="2"/>
      <c r="C462" s="2"/>
      <c r="D462" s="2"/>
      <c r="P462" s="4"/>
      <c r="AD462" s="4"/>
      <c r="BA462" s="7"/>
      <c r="BC462" s="4"/>
      <c r="BH462" s="4"/>
      <c r="BI462" s="32"/>
      <c r="BJ462" s="33"/>
      <c r="BK462" s="2"/>
      <c r="BL462" s="2"/>
    </row>
    <row r="463" spans="1:64" x14ac:dyDescent="0.55000000000000004">
      <c r="A463" s="2"/>
      <c r="B463" s="2"/>
      <c r="C463" s="2"/>
      <c r="D463" s="2"/>
      <c r="P463" s="4"/>
      <c r="AD463" s="4"/>
      <c r="BA463" s="7"/>
      <c r="BC463" s="4"/>
      <c r="BH463" s="4"/>
      <c r="BI463" s="32"/>
      <c r="BJ463" s="33"/>
      <c r="BK463" s="2"/>
      <c r="BL463" s="2"/>
    </row>
    <row r="464" spans="1:64" x14ac:dyDescent="0.55000000000000004">
      <c r="A464" s="2"/>
      <c r="B464" s="2"/>
      <c r="C464" s="2"/>
      <c r="D464" s="2"/>
      <c r="P464" s="4"/>
      <c r="AD464" s="4"/>
      <c r="BA464" s="7"/>
      <c r="BC464" s="4"/>
      <c r="BH464" s="4"/>
      <c r="BI464" s="32"/>
      <c r="BJ464" s="33"/>
      <c r="BK464" s="2"/>
      <c r="BL464" s="2"/>
    </row>
    <row r="465" spans="1:64" x14ac:dyDescent="0.55000000000000004">
      <c r="A465" s="2"/>
      <c r="B465" s="2"/>
      <c r="C465" s="2"/>
      <c r="D465" s="2"/>
      <c r="P465" s="4"/>
      <c r="AD465" s="4"/>
      <c r="BA465" s="7"/>
      <c r="BC465" s="4"/>
      <c r="BH465" s="4"/>
      <c r="BI465" s="32"/>
      <c r="BJ465" s="33"/>
      <c r="BK465" s="2"/>
      <c r="BL465" s="2"/>
    </row>
    <row r="466" spans="1:64" x14ac:dyDescent="0.55000000000000004">
      <c r="A466" s="2"/>
      <c r="B466" s="2"/>
      <c r="C466" s="2"/>
      <c r="D466" s="2"/>
      <c r="P466" s="4"/>
      <c r="AD466" s="4"/>
      <c r="BA466" s="7"/>
      <c r="BC466" s="4"/>
      <c r="BH466" s="4"/>
      <c r="BI466" s="32"/>
      <c r="BJ466" s="33"/>
      <c r="BK466" s="2"/>
      <c r="BL466" s="2"/>
    </row>
    <row r="467" spans="1:64" x14ac:dyDescent="0.55000000000000004">
      <c r="A467" s="2"/>
      <c r="B467" s="2"/>
      <c r="C467" s="2"/>
      <c r="D467" s="2"/>
      <c r="P467" s="4"/>
      <c r="AD467" s="4"/>
      <c r="BA467" s="7"/>
      <c r="BC467" s="4"/>
      <c r="BH467" s="4"/>
      <c r="BI467" s="32"/>
      <c r="BJ467" s="33"/>
      <c r="BK467" s="2"/>
      <c r="BL467" s="2"/>
    </row>
    <row r="468" spans="1:64" x14ac:dyDescent="0.55000000000000004">
      <c r="A468" s="2"/>
      <c r="B468" s="2"/>
      <c r="C468" s="2"/>
      <c r="D468" s="2"/>
      <c r="P468" s="4"/>
      <c r="AD468" s="4"/>
      <c r="BA468" s="7"/>
      <c r="BC468" s="4"/>
      <c r="BH468" s="4"/>
      <c r="BI468" s="32"/>
      <c r="BJ468" s="33"/>
      <c r="BK468" s="2"/>
      <c r="BL468" s="2"/>
    </row>
    <row r="469" spans="1:64" x14ac:dyDescent="0.55000000000000004">
      <c r="A469" s="2"/>
      <c r="B469" s="2"/>
      <c r="C469" s="2"/>
      <c r="D469" s="2"/>
      <c r="P469" s="4"/>
      <c r="AD469" s="4"/>
      <c r="BA469" s="7"/>
      <c r="BC469" s="4"/>
      <c r="BH469" s="4"/>
      <c r="BI469" s="32"/>
      <c r="BJ469" s="33"/>
      <c r="BK469" s="2"/>
      <c r="BL469" s="2"/>
    </row>
    <row r="470" spans="1:64" x14ac:dyDescent="0.55000000000000004">
      <c r="A470" s="2"/>
      <c r="B470" s="2"/>
      <c r="C470" s="2"/>
      <c r="D470" s="2"/>
      <c r="P470" s="4"/>
      <c r="AD470" s="4"/>
      <c r="BA470" s="7"/>
      <c r="BC470" s="4"/>
      <c r="BH470" s="4"/>
      <c r="BI470" s="32"/>
      <c r="BJ470" s="33"/>
      <c r="BK470" s="2"/>
      <c r="BL470" s="2"/>
    </row>
    <row r="471" spans="1:64" x14ac:dyDescent="0.55000000000000004">
      <c r="A471" s="2"/>
      <c r="B471" s="2"/>
      <c r="C471" s="2"/>
      <c r="D471" s="2"/>
      <c r="P471" s="4"/>
      <c r="AD471" s="4"/>
      <c r="BA471" s="7"/>
      <c r="BC471" s="4"/>
      <c r="BH471" s="4"/>
      <c r="BI471" s="32"/>
      <c r="BJ471" s="33"/>
      <c r="BK471" s="2"/>
      <c r="BL471" s="2"/>
    </row>
    <row r="472" spans="1:64" x14ac:dyDescent="0.55000000000000004">
      <c r="A472" s="2"/>
      <c r="B472" s="2"/>
      <c r="C472" s="2"/>
      <c r="D472" s="2"/>
      <c r="P472" s="4"/>
      <c r="AD472" s="4"/>
      <c r="BA472" s="7"/>
      <c r="BC472" s="4"/>
      <c r="BH472" s="4"/>
      <c r="BI472" s="32"/>
      <c r="BJ472" s="33"/>
      <c r="BK472" s="2"/>
      <c r="BL472" s="2"/>
    </row>
    <row r="473" spans="1:64" x14ac:dyDescent="0.55000000000000004">
      <c r="A473" s="2"/>
      <c r="B473" s="2"/>
      <c r="C473" s="2"/>
      <c r="D473" s="2"/>
      <c r="P473" s="4"/>
      <c r="AD473" s="4"/>
      <c r="BA473" s="7"/>
      <c r="BC473" s="4"/>
      <c r="BH473" s="4"/>
      <c r="BI473" s="32"/>
      <c r="BJ473" s="33"/>
      <c r="BK473" s="2"/>
      <c r="BL473" s="2"/>
    </row>
    <row r="474" spans="1:64" x14ac:dyDescent="0.55000000000000004">
      <c r="A474" s="2"/>
      <c r="B474" s="2"/>
      <c r="C474" s="2"/>
      <c r="D474" s="2"/>
      <c r="P474" s="4"/>
      <c r="AD474" s="4"/>
      <c r="BA474" s="7"/>
      <c r="BC474" s="4"/>
      <c r="BH474" s="4"/>
      <c r="BI474" s="32"/>
      <c r="BJ474" s="33"/>
      <c r="BK474" s="2"/>
      <c r="BL474" s="2"/>
    </row>
    <row r="475" spans="1:64" x14ac:dyDescent="0.55000000000000004">
      <c r="A475" s="2"/>
      <c r="B475" s="2"/>
      <c r="C475" s="2"/>
      <c r="D475" s="2"/>
      <c r="P475" s="4"/>
      <c r="AD475" s="4"/>
      <c r="BA475" s="7"/>
      <c r="BC475" s="4"/>
      <c r="BH475" s="4"/>
      <c r="BI475" s="32"/>
      <c r="BJ475" s="33"/>
      <c r="BK475" s="2"/>
      <c r="BL475" s="2"/>
    </row>
    <row r="476" spans="1:64" x14ac:dyDescent="0.55000000000000004">
      <c r="A476" s="2"/>
      <c r="B476" s="2"/>
      <c r="C476" s="2"/>
      <c r="D476" s="2"/>
      <c r="P476" s="4"/>
      <c r="AD476" s="4"/>
      <c r="BA476" s="7"/>
      <c r="BC476" s="4"/>
      <c r="BH476" s="4"/>
      <c r="BI476" s="32"/>
      <c r="BJ476" s="33"/>
      <c r="BK476" s="2"/>
      <c r="BL476" s="2"/>
    </row>
    <row r="477" spans="1:64" x14ac:dyDescent="0.55000000000000004">
      <c r="A477" s="2"/>
      <c r="B477" s="2"/>
      <c r="C477" s="2"/>
      <c r="D477" s="2"/>
      <c r="P477" s="4"/>
      <c r="AD477" s="4"/>
      <c r="BA477" s="7"/>
      <c r="BC477" s="4"/>
      <c r="BH477" s="4"/>
      <c r="BI477" s="32"/>
      <c r="BJ477" s="33"/>
      <c r="BK477" s="2"/>
      <c r="BL477" s="2"/>
    </row>
    <row r="478" spans="1:64" x14ac:dyDescent="0.55000000000000004">
      <c r="A478" s="2"/>
      <c r="B478" s="2"/>
      <c r="C478" s="2"/>
      <c r="D478" s="2"/>
      <c r="P478" s="4"/>
      <c r="AD478" s="4"/>
      <c r="BA478" s="7"/>
      <c r="BC478" s="4"/>
      <c r="BH478" s="4"/>
      <c r="BI478" s="32"/>
      <c r="BJ478" s="33"/>
      <c r="BK478" s="2"/>
      <c r="BL478" s="2"/>
    </row>
    <row r="479" spans="1:64" x14ac:dyDescent="0.55000000000000004">
      <c r="A479" s="2"/>
      <c r="B479" s="2"/>
      <c r="C479" s="2"/>
      <c r="D479" s="2"/>
      <c r="P479" s="4"/>
      <c r="AD479" s="4"/>
      <c r="BA479" s="7"/>
      <c r="BC479" s="4"/>
      <c r="BH479" s="4"/>
      <c r="BI479" s="32"/>
      <c r="BJ479" s="33"/>
      <c r="BK479" s="2"/>
      <c r="BL479" s="2"/>
    </row>
    <row r="480" spans="1:64" x14ac:dyDescent="0.55000000000000004">
      <c r="A480" s="2"/>
      <c r="B480" s="2"/>
      <c r="C480" s="2"/>
      <c r="D480" s="2"/>
      <c r="P480" s="4"/>
      <c r="AD480" s="4"/>
      <c r="BA480" s="7"/>
      <c r="BC480" s="4"/>
      <c r="BH480" s="4"/>
      <c r="BI480" s="32"/>
      <c r="BJ480" s="33"/>
      <c r="BK480" s="2"/>
      <c r="BL480" s="2"/>
    </row>
    <row r="481" spans="1:64" x14ac:dyDescent="0.55000000000000004">
      <c r="A481" s="2"/>
      <c r="B481" s="2"/>
      <c r="C481" s="2"/>
      <c r="D481" s="2"/>
      <c r="P481" s="4"/>
      <c r="AD481" s="4"/>
      <c r="BA481" s="7"/>
      <c r="BC481" s="4"/>
      <c r="BH481" s="4"/>
      <c r="BI481" s="32"/>
      <c r="BJ481" s="33"/>
      <c r="BK481" s="2"/>
      <c r="BL481" s="2"/>
    </row>
    <row r="482" spans="1:64" x14ac:dyDescent="0.55000000000000004">
      <c r="A482" s="2"/>
      <c r="B482" s="2"/>
      <c r="C482" s="2"/>
      <c r="D482" s="2"/>
      <c r="P482" s="4"/>
      <c r="AD482" s="4"/>
      <c r="BA482" s="7"/>
      <c r="BC482" s="4"/>
      <c r="BH482" s="4"/>
      <c r="BI482" s="32"/>
      <c r="BJ482" s="33"/>
      <c r="BK482" s="2"/>
      <c r="BL482" s="2"/>
    </row>
    <row r="483" spans="1:64" x14ac:dyDescent="0.55000000000000004">
      <c r="A483" s="2"/>
      <c r="B483" s="2"/>
      <c r="C483" s="2"/>
      <c r="D483" s="2"/>
      <c r="P483" s="4"/>
      <c r="AD483" s="4"/>
      <c r="BA483" s="7"/>
      <c r="BC483" s="4"/>
      <c r="BH483" s="4"/>
      <c r="BI483" s="32"/>
      <c r="BJ483" s="33"/>
      <c r="BK483" s="2"/>
      <c r="BL483" s="2"/>
    </row>
    <row r="484" spans="1:64" x14ac:dyDescent="0.55000000000000004">
      <c r="A484" s="2"/>
      <c r="B484" s="2"/>
      <c r="C484" s="2"/>
      <c r="D484" s="2"/>
      <c r="P484" s="4"/>
      <c r="AD484" s="4"/>
      <c r="BA484" s="7"/>
      <c r="BC484" s="4"/>
      <c r="BH484" s="4"/>
      <c r="BI484" s="32"/>
      <c r="BJ484" s="33"/>
      <c r="BK484" s="2"/>
      <c r="BL484" s="2"/>
    </row>
    <row r="485" spans="1:64" x14ac:dyDescent="0.55000000000000004">
      <c r="A485" s="2"/>
      <c r="B485" s="2"/>
      <c r="C485" s="2"/>
      <c r="D485" s="2"/>
      <c r="P485" s="4"/>
      <c r="AD485" s="4"/>
      <c r="BA485" s="7"/>
      <c r="BC485" s="4"/>
      <c r="BH485" s="4"/>
      <c r="BI485" s="32"/>
      <c r="BJ485" s="33"/>
      <c r="BK485" s="2"/>
      <c r="BL485" s="2"/>
    </row>
    <row r="486" spans="1:64" x14ac:dyDescent="0.55000000000000004">
      <c r="A486" s="2"/>
      <c r="B486" s="2"/>
      <c r="C486" s="2"/>
      <c r="D486" s="2"/>
      <c r="P486" s="4"/>
      <c r="AD486" s="4"/>
      <c r="BA486" s="7"/>
      <c r="BC486" s="4"/>
      <c r="BH486" s="4"/>
      <c r="BI486" s="32"/>
      <c r="BJ486" s="33"/>
      <c r="BK486" s="2"/>
      <c r="BL486" s="2"/>
    </row>
    <row r="487" spans="1:64" x14ac:dyDescent="0.55000000000000004">
      <c r="A487" s="2"/>
      <c r="B487" s="2"/>
      <c r="C487" s="2"/>
      <c r="D487" s="2"/>
      <c r="P487" s="4"/>
      <c r="AD487" s="4"/>
      <c r="BA487" s="7"/>
      <c r="BC487" s="4"/>
      <c r="BH487" s="4"/>
      <c r="BI487" s="32"/>
      <c r="BJ487" s="33"/>
      <c r="BK487" s="2"/>
      <c r="BL487" s="2"/>
    </row>
    <row r="488" spans="1:64" x14ac:dyDescent="0.55000000000000004">
      <c r="A488" s="2"/>
      <c r="B488" s="2"/>
      <c r="C488" s="2"/>
      <c r="D488" s="2"/>
      <c r="P488" s="4"/>
      <c r="AD488" s="4"/>
      <c r="BA488" s="7"/>
      <c r="BC488" s="4"/>
      <c r="BH488" s="4"/>
      <c r="BI488" s="32"/>
      <c r="BJ488" s="33"/>
      <c r="BK488" s="2"/>
      <c r="BL488" s="2"/>
    </row>
    <row r="489" spans="1:64" x14ac:dyDescent="0.55000000000000004">
      <c r="A489" s="2"/>
      <c r="B489" s="2"/>
      <c r="C489" s="2"/>
      <c r="D489" s="2"/>
      <c r="P489" s="4"/>
      <c r="AD489" s="4"/>
      <c r="BA489" s="7"/>
      <c r="BC489" s="4"/>
      <c r="BH489" s="4"/>
      <c r="BI489" s="32"/>
      <c r="BJ489" s="33"/>
      <c r="BK489" s="2"/>
      <c r="BL489" s="2"/>
    </row>
    <row r="490" spans="1:64" x14ac:dyDescent="0.55000000000000004">
      <c r="A490" s="2"/>
      <c r="B490" s="2"/>
      <c r="C490" s="2"/>
      <c r="D490" s="2"/>
      <c r="P490" s="4"/>
      <c r="AD490" s="4"/>
      <c r="BA490" s="7"/>
      <c r="BC490" s="4"/>
      <c r="BH490" s="4"/>
      <c r="BI490" s="32"/>
      <c r="BJ490" s="33"/>
      <c r="BK490" s="2"/>
      <c r="BL490" s="2"/>
    </row>
    <row r="491" spans="1:64" x14ac:dyDescent="0.55000000000000004">
      <c r="A491" s="2"/>
      <c r="B491" s="2"/>
      <c r="C491" s="2"/>
      <c r="D491" s="2"/>
      <c r="P491" s="4"/>
      <c r="AD491" s="4"/>
      <c r="BA491" s="7"/>
      <c r="BC491" s="4"/>
      <c r="BH491" s="4"/>
      <c r="BI491" s="32"/>
      <c r="BJ491" s="33"/>
      <c r="BK491" s="2"/>
      <c r="BL491" s="2"/>
    </row>
    <row r="492" spans="1:64" x14ac:dyDescent="0.55000000000000004">
      <c r="A492" s="2"/>
      <c r="B492" s="2"/>
      <c r="C492" s="2"/>
      <c r="D492" s="2"/>
      <c r="P492" s="4"/>
      <c r="AD492" s="4"/>
      <c r="BA492" s="7"/>
      <c r="BC492" s="4"/>
      <c r="BH492" s="4"/>
      <c r="BI492" s="32"/>
      <c r="BJ492" s="33"/>
      <c r="BK492" s="2"/>
      <c r="BL492" s="2"/>
    </row>
    <row r="493" spans="1:64" x14ac:dyDescent="0.55000000000000004">
      <c r="A493" s="2"/>
      <c r="B493" s="2"/>
      <c r="C493" s="2"/>
      <c r="D493" s="2"/>
      <c r="P493" s="4"/>
      <c r="AD493" s="4"/>
      <c r="BA493" s="7"/>
      <c r="BC493" s="4"/>
      <c r="BH493" s="4"/>
      <c r="BI493" s="32"/>
      <c r="BJ493" s="33"/>
      <c r="BK493" s="2"/>
      <c r="BL493" s="2"/>
    </row>
    <row r="494" spans="1:64" x14ac:dyDescent="0.55000000000000004">
      <c r="A494" s="2"/>
      <c r="B494" s="2"/>
      <c r="C494" s="2"/>
      <c r="D494" s="2"/>
      <c r="P494" s="4"/>
      <c r="AD494" s="4"/>
      <c r="BA494" s="7"/>
      <c r="BC494" s="4"/>
      <c r="BH494" s="4"/>
      <c r="BI494" s="32"/>
      <c r="BJ494" s="33"/>
      <c r="BK494" s="2"/>
      <c r="BL494" s="2"/>
    </row>
    <row r="495" spans="1:64" x14ac:dyDescent="0.55000000000000004">
      <c r="A495" s="2"/>
      <c r="B495" s="2"/>
      <c r="C495" s="2"/>
      <c r="D495" s="2"/>
      <c r="P495" s="4"/>
      <c r="AD495" s="4"/>
      <c r="BA495" s="7"/>
      <c r="BC495" s="4"/>
      <c r="BH495" s="4"/>
      <c r="BI495" s="32"/>
      <c r="BJ495" s="33"/>
      <c r="BK495" s="2"/>
      <c r="BL495" s="2"/>
    </row>
    <row r="496" spans="1:64" x14ac:dyDescent="0.55000000000000004">
      <c r="A496" s="2"/>
      <c r="B496" s="2"/>
      <c r="C496" s="2"/>
      <c r="D496" s="2"/>
      <c r="P496" s="4"/>
      <c r="AD496" s="4"/>
      <c r="BA496" s="7"/>
      <c r="BC496" s="4"/>
      <c r="BH496" s="4"/>
      <c r="BI496" s="32"/>
      <c r="BJ496" s="33"/>
      <c r="BK496" s="2"/>
      <c r="BL496" s="2"/>
    </row>
    <row r="497" spans="1:64" x14ac:dyDescent="0.55000000000000004">
      <c r="A497" s="2"/>
      <c r="B497" s="2"/>
      <c r="C497" s="2"/>
      <c r="D497" s="2"/>
      <c r="P497" s="4"/>
      <c r="AD497" s="4"/>
      <c r="BA497" s="7"/>
      <c r="BC497" s="4"/>
      <c r="BH497" s="4"/>
      <c r="BI497" s="32"/>
      <c r="BJ497" s="33"/>
      <c r="BK497" s="2"/>
      <c r="BL497" s="2"/>
    </row>
    <row r="498" spans="1:64" x14ac:dyDescent="0.55000000000000004">
      <c r="A498" s="2"/>
      <c r="B498" s="2"/>
      <c r="C498" s="2"/>
      <c r="D498" s="2"/>
      <c r="P498" s="4"/>
      <c r="AD498" s="4"/>
      <c r="BA498" s="7"/>
      <c r="BC498" s="4"/>
      <c r="BH498" s="4"/>
      <c r="BI498" s="32"/>
      <c r="BJ498" s="33"/>
      <c r="BK498" s="2"/>
      <c r="BL498" s="2"/>
    </row>
    <row r="499" spans="1:64" x14ac:dyDescent="0.55000000000000004">
      <c r="A499" s="2"/>
      <c r="B499" s="2"/>
      <c r="C499" s="2"/>
      <c r="D499" s="2"/>
      <c r="P499" s="4"/>
      <c r="AD499" s="4"/>
      <c r="BA499" s="7"/>
      <c r="BC499" s="4"/>
      <c r="BH499" s="4"/>
      <c r="BI499" s="32"/>
      <c r="BJ499" s="33"/>
      <c r="BK499" s="2"/>
      <c r="BL499" s="2"/>
    </row>
    <row r="500" spans="1:64" x14ac:dyDescent="0.55000000000000004">
      <c r="A500" s="2"/>
      <c r="B500" s="2"/>
      <c r="C500" s="2"/>
      <c r="D500" s="2"/>
      <c r="P500" s="4"/>
      <c r="AD500" s="4"/>
      <c r="BA500" s="7"/>
      <c r="BC500" s="4"/>
      <c r="BH500" s="4"/>
      <c r="BI500" s="32"/>
      <c r="BJ500" s="33"/>
      <c r="BK500" s="2"/>
      <c r="BL500" s="2"/>
    </row>
    <row r="501" spans="1:64" x14ac:dyDescent="0.55000000000000004">
      <c r="A501" s="2"/>
      <c r="B501" s="2"/>
      <c r="C501" s="2"/>
      <c r="D501" s="2"/>
      <c r="P501" s="4"/>
      <c r="AD501" s="4"/>
      <c r="BA501" s="7"/>
      <c r="BC501" s="4"/>
      <c r="BH501" s="4"/>
      <c r="BI501" s="32"/>
      <c r="BJ501" s="33"/>
      <c r="BK501" s="2"/>
      <c r="BL501" s="2"/>
    </row>
    <row r="502" spans="1:64" x14ac:dyDescent="0.55000000000000004">
      <c r="A502" s="2"/>
      <c r="B502" s="2"/>
      <c r="C502" s="2"/>
      <c r="D502" s="2"/>
      <c r="P502" s="4"/>
      <c r="AD502" s="4"/>
      <c r="BA502" s="7"/>
      <c r="BC502" s="4"/>
      <c r="BH502" s="4"/>
      <c r="BI502" s="32"/>
      <c r="BJ502" s="33"/>
      <c r="BK502" s="2"/>
      <c r="BL502" s="2"/>
    </row>
    <row r="503" spans="1:64" x14ac:dyDescent="0.55000000000000004">
      <c r="A503" s="2"/>
      <c r="B503" s="2"/>
      <c r="C503" s="2"/>
      <c r="D503" s="2"/>
      <c r="P503" s="4"/>
      <c r="AD503" s="4"/>
      <c r="BA503" s="7"/>
      <c r="BC503" s="4"/>
      <c r="BH503" s="4"/>
      <c r="BI503" s="32"/>
      <c r="BJ503" s="33"/>
      <c r="BK503" s="2"/>
      <c r="BL503" s="2"/>
    </row>
    <row r="504" spans="1:64" x14ac:dyDescent="0.55000000000000004">
      <c r="A504" s="2"/>
      <c r="B504" s="2"/>
      <c r="C504" s="2"/>
      <c r="D504" s="2"/>
      <c r="P504" s="4"/>
      <c r="AD504" s="4"/>
      <c r="BA504" s="7"/>
      <c r="BC504" s="4"/>
      <c r="BH504" s="4"/>
      <c r="BI504" s="32"/>
      <c r="BJ504" s="33"/>
      <c r="BK504" s="2"/>
      <c r="BL504" s="2"/>
    </row>
    <row r="505" spans="1:64" x14ac:dyDescent="0.55000000000000004">
      <c r="A505" s="2"/>
      <c r="B505" s="2"/>
      <c r="C505" s="2"/>
      <c r="D505" s="2"/>
      <c r="P505" s="4"/>
      <c r="AD505" s="4"/>
      <c r="BA505" s="7"/>
      <c r="BC505" s="4"/>
      <c r="BH505" s="4"/>
      <c r="BI505" s="32"/>
      <c r="BJ505" s="33"/>
      <c r="BK505" s="2"/>
      <c r="BL505" s="2"/>
    </row>
    <row r="506" spans="1:64" x14ac:dyDescent="0.55000000000000004">
      <c r="A506" s="2"/>
      <c r="B506" s="2"/>
      <c r="C506" s="2"/>
      <c r="D506" s="2"/>
      <c r="P506" s="4"/>
      <c r="AD506" s="4"/>
      <c r="BA506" s="7"/>
      <c r="BC506" s="4"/>
      <c r="BH506" s="4"/>
      <c r="BI506" s="32"/>
      <c r="BJ506" s="33"/>
      <c r="BK506" s="2"/>
      <c r="BL506" s="2"/>
    </row>
    <row r="507" spans="1:64" x14ac:dyDescent="0.55000000000000004">
      <c r="A507" s="2"/>
      <c r="B507" s="2"/>
      <c r="C507" s="2"/>
      <c r="D507" s="2"/>
      <c r="P507" s="4"/>
      <c r="AD507" s="4"/>
      <c r="BA507" s="7"/>
      <c r="BC507" s="4"/>
      <c r="BH507" s="4"/>
      <c r="BI507" s="32"/>
      <c r="BJ507" s="33"/>
      <c r="BK507" s="2"/>
      <c r="BL507" s="2"/>
    </row>
    <row r="508" spans="1:64" x14ac:dyDescent="0.55000000000000004">
      <c r="A508" s="2"/>
      <c r="B508" s="2"/>
      <c r="C508" s="2"/>
      <c r="D508" s="2"/>
      <c r="P508" s="4"/>
      <c r="AD508" s="4"/>
      <c r="BA508" s="7"/>
      <c r="BC508" s="4"/>
      <c r="BH508" s="4"/>
      <c r="BI508" s="32"/>
      <c r="BJ508" s="33"/>
      <c r="BK508" s="2"/>
      <c r="BL508" s="2"/>
    </row>
    <row r="509" spans="1:64" x14ac:dyDescent="0.55000000000000004">
      <c r="A509" s="2"/>
      <c r="B509" s="2"/>
      <c r="C509" s="2"/>
      <c r="D509" s="2"/>
      <c r="P509" s="4"/>
      <c r="AD509" s="4"/>
      <c r="BA509" s="7"/>
      <c r="BC509" s="4"/>
      <c r="BH509" s="4"/>
      <c r="BI509" s="32"/>
      <c r="BJ509" s="33"/>
      <c r="BK509" s="2"/>
      <c r="BL509" s="2"/>
    </row>
    <row r="510" spans="1:64" x14ac:dyDescent="0.55000000000000004">
      <c r="A510" s="2"/>
      <c r="B510" s="2"/>
      <c r="C510" s="2"/>
      <c r="D510" s="2"/>
      <c r="P510" s="4"/>
      <c r="AD510" s="4"/>
      <c r="BA510" s="7"/>
      <c r="BC510" s="4"/>
      <c r="BH510" s="4"/>
      <c r="BI510" s="32"/>
      <c r="BJ510" s="33"/>
      <c r="BK510" s="2"/>
      <c r="BL510" s="2"/>
    </row>
    <row r="511" spans="1:64" x14ac:dyDescent="0.55000000000000004">
      <c r="A511" s="2"/>
      <c r="B511" s="2"/>
      <c r="C511" s="2"/>
      <c r="D511" s="2"/>
      <c r="P511" s="4"/>
      <c r="AD511" s="4"/>
      <c r="BA511" s="7"/>
      <c r="BC511" s="4"/>
      <c r="BH511" s="4"/>
      <c r="BI511" s="32"/>
      <c r="BJ511" s="33"/>
      <c r="BK511" s="2"/>
      <c r="BL511" s="2"/>
    </row>
    <row r="512" spans="1:64" x14ac:dyDescent="0.55000000000000004">
      <c r="A512" s="2"/>
      <c r="B512" s="2"/>
      <c r="C512" s="2"/>
      <c r="D512" s="2"/>
      <c r="P512" s="4"/>
      <c r="AD512" s="4"/>
      <c r="BA512" s="7"/>
      <c r="BC512" s="4"/>
      <c r="BH512" s="4"/>
      <c r="BI512" s="32"/>
      <c r="BJ512" s="33"/>
      <c r="BK512" s="2"/>
      <c r="BL512" s="2"/>
    </row>
    <row r="513" spans="1:64" x14ac:dyDescent="0.55000000000000004">
      <c r="A513" s="2"/>
      <c r="B513" s="2"/>
      <c r="C513" s="2"/>
      <c r="D513" s="2"/>
      <c r="P513" s="4"/>
      <c r="AD513" s="4"/>
      <c r="BA513" s="7"/>
      <c r="BC513" s="4"/>
      <c r="BH513" s="4"/>
      <c r="BI513" s="32"/>
      <c r="BJ513" s="33"/>
      <c r="BK513" s="2"/>
      <c r="BL513" s="2"/>
    </row>
    <row r="514" spans="1:64" x14ac:dyDescent="0.55000000000000004">
      <c r="A514" s="2"/>
      <c r="B514" s="2"/>
      <c r="C514" s="2"/>
      <c r="D514" s="2"/>
      <c r="P514" s="4"/>
      <c r="AD514" s="4"/>
      <c r="BA514" s="7"/>
      <c r="BC514" s="4"/>
      <c r="BH514" s="4"/>
      <c r="BI514" s="32"/>
      <c r="BJ514" s="33"/>
      <c r="BK514" s="2"/>
      <c r="BL514" s="2"/>
    </row>
    <row r="515" spans="1:64" x14ac:dyDescent="0.55000000000000004">
      <c r="A515" s="2"/>
      <c r="B515" s="2"/>
      <c r="C515" s="2"/>
      <c r="D515" s="2"/>
      <c r="P515" s="4"/>
      <c r="AD515" s="4"/>
      <c r="BA515" s="7"/>
      <c r="BC515" s="4"/>
      <c r="BH515" s="4"/>
      <c r="BI515" s="32"/>
      <c r="BJ515" s="33"/>
      <c r="BK515" s="2"/>
      <c r="BL515" s="2"/>
    </row>
    <row r="516" spans="1:64" x14ac:dyDescent="0.55000000000000004">
      <c r="A516" s="2"/>
      <c r="B516" s="2"/>
      <c r="C516" s="2"/>
      <c r="D516" s="2"/>
      <c r="P516" s="4"/>
      <c r="AD516" s="4"/>
      <c r="BA516" s="7"/>
      <c r="BC516" s="4"/>
      <c r="BH516" s="4"/>
      <c r="BI516" s="32"/>
      <c r="BJ516" s="33"/>
      <c r="BK516" s="2"/>
      <c r="BL516" s="2"/>
    </row>
    <row r="517" spans="1:64" x14ac:dyDescent="0.55000000000000004">
      <c r="A517" s="2"/>
      <c r="B517" s="2"/>
      <c r="C517" s="2"/>
      <c r="D517" s="2"/>
      <c r="P517" s="4"/>
      <c r="AD517" s="4"/>
      <c r="BA517" s="7"/>
      <c r="BC517" s="4"/>
      <c r="BH517" s="4"/>
      <c r="BI517" s="32"/>
      <c r="BJ517" s="33"/>
      <c r="BK517" s="2"/>
      <c r="BL517" s="2"/>
    </row>
    <row r="518" spans="1:64" x14ac:dyDescent="0.55000000000000004">
      <c r="A518" s="2"/>
      <c r="B518" s="2"/>
      <c r="C518" s="2"/>
      <c r="D518" s="2"/>
      <c r="P518" s="4"/>
      <c r="AD518" s="4"/>
      <c r="BA518" s="7"/>
      <c r="BC518" s="4"/>
      <c r="BH518" s="4"/>
      <c r="BI518" s="32"/>
      <c r="BJ518" s="33"/>
      <c r="BK518" s="2"/>
      <c r="BL518" s="2"/>
    </row>
    <row r="519" spans="1:64" x14ac:dyDescent="0.55000000000000004">
      <c r="A519" s="2"/>
      <c r="B519" s="2"/>
      <c r="C519" s="2"/>
      <c r="D519" s="2"/>
      <c r="P519" s="4"/>
      <c r="AD519" s="4"/>
      <c r="BA519" s="7"/>
      <c r="BC519" s="4"/>
      <c r="BH519" s="4"/>
      <c r="BI519" s="32"/>
      <c r="BJ519" s="33"/>
      <c r="BK519" s="2"/>
      <c r="BL519" s="2"/>
    </row>
    <row r="520" spans="1:64" x14ac:dyDescent="0.55000000000000004">
      <c r="A520" s="2"/>
      <c r="B520" s="2"/>
      <c r="C520" s="2"/>
      <c r="D520" s="2"/>
      <c r="P520" s="4"/>
      <c r="AD520" s="4"/>
      <c r="BA520" s="7"/>
      <c r="BC520" s="4"/>
      <c r="BH520" s="4"/>
      <c r="BI520" s="32"/>
      <c r="BJ520" s="33"/>
      <c r="BK520" s="2"/>
      <c r="BL520" s="2"/>
    </row>
    <row r="521" spans="1:64" x14ac:dyDescent="0.55000000000000004">
      <c r="A521" s="2"/>
      <c r="B521" s="2"/>
      <c r="C521" s="2"/>
      <c r="D521" s="2"/>
      <c r="P521" s="4"/>
      <c r="AD521" s="4"/>
      <c r="BA521" s="7"/>
      <c r="BC521" s="4"/>
      <c r="BH521" s="4"/>
      <c r="BI521" s="32"/>
      <c r="BJ521" s="33"/>
      <c r="BK521" s="2"/>
      <c r="BL521" s="2"/>
    </row>
    <row r="522" spans="1:64" x14ac:dyDescent="0.55000000000000004">
      <c r="A522" s="2"/>
      <c r="B522" s="2"/>
      <c r="C522" s="2"/>
      <c r="D522" s="2"/>
      <c r="P522" s="4"/>
      <c r="AD522" s="4"/>
      <c r="BA522" s="7"/>
      <c r="BC522" s="4"/>
      <c r="BH522" s="4"/>
      <c r="BI522" s="32"/>
      <c r="BJ522" s="33"/>
      <c r="BK522" s="2"/>
      <c r="BL522" s="2"/>
    </row>
    <row r="523" spans="1:64" x14ac:dyDescent="0.55000000000000004">
      <c r="A523" s="2"/>
      <c r="B523" s="2"/>
      <c r="C523" s="2"/>
      <c r="D523" s="2"/>
      <c r="P523" s="4"/>
      <c r="AD523" s="4"/>
      <c r="BA523" s="7"/>
      <c r="BC523" s="4"/>
      <c r="BH523" s="4"/>
      <c r="BI523" s="32"/>
      <c r="BJ523" s="33"/>
      <c r="BK523" s="2"/>
      <c r="BL523" s="2"/>
    </row>
    <row r="524" spans="1:64" x14ac:dyDescent="0.55000000000000004">
      <c r="A524" s="2"/>
      <c r="B524" s="2"/>
      <c r="C524" s="2"/>
      <c r="D524" s="2"/>
      <c r="P524" s="4"/>
      <c r="AD524" s="4"/>
      <c r="BA524" s="7"/>
      <c r="BC524" s="4"/>
      <c r="BH524" s="4"/>
      <c r="BI524" s="32"/>
      <c r="BJ524" s="33"/>
      <c r="BK524" s="2"/>
      <c r="BL524" s="2"/>
    </row>
    <row r="525" spans="1:64" x14ac:dyDescent="0.55000000000000004">
      <c r="A525" s="2"/>
      <c r="B525" s="2"/>
      <c r="C525" s="2"/>
      <c r="D525" s="2"/>
      <c r="P525" s="4"/>
      <c r="AD525" s="4"/>
      <c r="BA525" s="7"/>
      <c r="BC525" s="4"/>
      <c r="BH525" s="4"/>
      <c r="BI525" s="32"/>
      <c r="BJ525" s="33"/>
      <c r="BK525" s="2"/>
      <c r="BL525" s="2"/>
    </row>
    <row r="526" spans="1:64" x14ac:dyDescent="0.55000000000000004">
      <c r="A526" s="2"/>
      <c r="B526" s="2"/>
      <c r="C526" s="2"/>
      <c r="D526" s="2"/>
      <c r="P526" s="4"/>
      <c r="AD526" s="4"/>
      <c r="BA526" s="7"/>
      <c r="BC526" s="4"/>
      <c r="BH526" s="4"/>
      <c r="BI526" s="32"/>
      <c r="BJ526" s="33"/>
      <c r="BK526" s="2"/>
      <c r="BL526" s="2"/>
    </row>
    <row r="527" spans="1:64" x14ac:dyDescent="0.55000000000000004">
      <c r="A527" s="2"/>
      <c r="B527" s="2"/>
      <c r="C527" s="2"/>
      <c r="D527" s="2"/>
      <c r="P527" s="4"/>
      <c r="AD527" s="4"/>
      <c r="BA527" s="7"/>
      <c r="BC527" s="4"/>
      <c r="BH527" s="4"/>
      <c r="BI527" s="32"/>
      <c r="BJ527" s="33"/>
      <c r="BK527" s="2"/>
      <c r="BL527" s="2"/>
    </row>
    <row r="528" spans="1:64" x14ac:dyDescent="0.55000000000000004">
      <c r="A528" s="2"/>
      <c r="B528" s="2"/>
      <c r="C528" s="2"/>
      <c r="D528" s="2"/>
      <c r="P528" s="4"/>
      <c r="AD528" s="4"/>
      <c r="BA528" s="7"/>
      <c r="BC528" s="4"/>
      <c r="BH528" s="4"/>
      <c r="BI528" s="32"/>
      <c r="BJ528" s="33"/>
      <c r="BK528" s="2"/>
      <c r="BL528" s="2"/>
    </row>
    <row r="529" spans="1:64" x14ac:dyDescent="0.55000000000000004">
      <c r="A529" s="2"/>
      <c r="B529" s="2"/>
      <c r="C529" s="2"/>
      <c r="D529" s="2"/>
      <c r="P529" s="4"/>
      <c r="AD529" s="4"/>
      <c r="BA529" s="7"/>
      <c r="BC529" s="4"/>
      <c r="BH529" s="4"/>
      <c r="BI529" s="32"/>
      <c r="BJ529" s="33"/>
      <c r="BK529" s="2"/>
      <c r="BL529" s="2"/>
    </row>
    <row r="530" spans="1:64" x14ac:dyDescent="0.55000000000000004">
      <c r="A530" s="2"/>
      <c r="B530" s="2"/>
      <c r="C530" s="2"/>
      <c r="D530" s="2"/>
      <c r="P530" s="4"/>
      <c r="AD530" s="4"/>
      <c r="BA530" s="7"/>
      <c r="BC530" s="4"/>
      <c r="BH530" s="4"/>
      <c r="BI530" s="32"/>
      <c r="BJ530" s="33"/>
      <c r="BK530" s="2"/>
      <c r="BL530" s="2"/>
    </row>
    <row r="531" spans="1:64" x14ac:dyDescent="0.55000000000000004">
      <c r="A531" s="2"/>
      <c r="B531" s="2"/>
      <c r="C531" s="2"/>
      <c r="D531" s="2"/>
      <c r="P531" s="4"/>
      <c r="AD531" s="4"/>
      <c r="BA531" s="7"/>
      <c r="BC531" s="4"/>
      <c r="BH531" s="4"/>
      <c r="BI531" s="32"/>
      <c r="BJ531" s="33"/>
      <c r="BK531" s="2"/>
      <c r="BL531" s="2"/>
    </row>
    <row r="532" spans="1:64" x14ac:dyDescent="0.55000000000000004">
      <c r="A532" s="2"/>
      <c r="B532" s="2"/>
      <c r="C532" s="2"/>
      <c r="D532" s="2"/>
      <c r="P532" s="4"/>
      <c r="AD532" s="4"/>
      <c r="BA532" s="7"/>
      <c r="BC532" s="4"/>
      <c r="BH532" s="4"/>
      <c r="BI532" s="32"/>
      <c r="BJ532" s="33"/>
      <c r="BK532" s="2"/>
      <c r="BL532" s="2"/>
    </row>
    <row r="533" spans="1:64" x14ac:dyDescent="0.55000000000000004">
      <c r="A533" s="2"/>
      <c r="B533" s="2"/>
      <c r="C533" s="2"/>
      <c r="D533" s="2"/>
      <c r="P533" s="4"/>
      <c r="AD533" s="4"/>
      <c r="BA533" s="7"/>
      <c r="BC533" s="4"/>
      <c r="BH533" s="4"/>
      <c r="BI533" s="32"/>
      <c r="BJ533" s="33"/>
      <c r="BK533" s="2"/>
      <c r="BL533" s="2"/>
    </row>
    <row r="534" spans="1:64" x14ac:dyDescent="0.55000000000000004">
      <c r="A534" s="2"/>
      <c r="B534" s="2"/>
      <c r="C534" s="2"/>
      <c r="D534" s="2"/>
      <c r="P534" s="4"/>
      <c r="AD534" s="4"/>
      <c r="BA534" s="7"/>
      <c r="BC534" s="4"/>
      <c r="BH534" s="4"/>
      <c r="BI534" s="32"/>
      <c r="BJ534" s="33"/>
      <c r="BK534" s="2"/>
      <c r="BL534" s="2"/>
    </row>
    <row r="535" spans="1:64" x14ac:dyDescent="0.55000000000000004">
      <c r="A535" s="2"/>
      <c r="B535" s="2"/>
      <c r="C535" s="2"/>
      <c r="D535" s="2"/>
      <c r="P535" s="4"/>
      <c r="AD535" s="4"/>
      <c r="BA535" s="7"/>
      <c r="BC535" s="4"/>
      <c r="BH535" s="4"/>
      <c r="BI535" s="32"/>
      <c r="BJ535" s="33"/>
      <c r="BK535" s="2"/>
      <c r="BL535" s="2"/>
    </row>
    <row r="536" spans="1:64" x14ac:dyDescent="0.55000000000000004">
      <c r="A536" s="2"/>
      <c r="B536" s="2"/>
      <c r="C536" s="2"/>
      <c r="D536" s="2"/>
      <c r="P536" s="4"/>
      <c r="AD536" s="4"/>
      <c r="BA536" s="7"/>
      <c r="BC536" s="4"/>
      <c r="BH536" s="4"/>
      <c r="BI536" s="32"/>
      <c r="BJ536" s="33"/>
      <c r="BK536" s="2"/>
      <c r="BL536" s="2"/>
    </row>
    <row r="537" spans="1:64" x14ac:dyDescent="0.55000000000000004">
      <c r="A537" s="2"/>
      <c r="B537" s="2"/>
      <c r="C537" s="2"/>
      <c r="D537" s="2"/>
      <c r="P537" s="4"/>
      <c r="AD537" s="4"/>
      <c r="BA537" s="7"/>
      <c r="BC537" s="4"/>
      <c r="BH537" s="4"/>
      <c r="BI537" s="32"/>
      <c r="BJ537" s="33"/>
      <c r="BK537" s="2"/>
      <c r="BL537" s="2"/>
    </row>
    <row r="538" spans="1:64" x14ac:dyDescent="0.55000000000000004">
      <c r="A538" s="2"/>
      <c r="B538" s="2"/>
      <c r="C538" s="2"/>
      <c r="D538" s="2"/>
      <c r="P538" s="4"/>
      <c r="AD538" s="4"/>
      <c r="BA538" s="7"/>
      <c r="BC538" s="4"/>
      <c r="BH538" s="4"/>
      <c r="BI538" s="32"/>
      <c r="BJ538" s="33"/>
      <c r="BK538" s="2"/>
      <c r="BL538" s="2"/>
    </row>
    <row r="539" spans="1:64" x14ac:dyDescent="0.55000000000000004">
      <c r="A539" s="2"/>
      <c r="B539" s="2"/>
      <c r="C539" s="2"/>
      <c r="D539" s="2"/>
      <c r="P539" s="4"/>
      <c r="AD539" s="4"/>
      <c r="BA539" s="7"/>
      <c r="BC539" s="4"/>
      <c r="BH539" s="4"/>
      <c r="BI539" s="32"/>
      <c r="BJ539" s="33"/>
      <c r="BK539" s="2"/>
      <c r="BL539" s="2"/>
    </row>
    <row r="540" spans="1:64" x14ac:dyDescent="0.55000000000000004">
      <c r="A540" s="2"/>
      <c r="B540" s="2"/>
      <c r="C540" s="2"/>
      <c r="D540" s="2"/>
      <c r="P540" s="4"/>
      <c r="AD540" s="4"/>
      <c r="BA540" s="7"/>
      <c r="BC540" s="4"/>
      <c r="BH540" s="4"/>
      <c r="BI540" s="32"/>
      <c r="BJ540" s="33"/>
      <c r="BK540" s="2"/>
      <c r="BL540" s="2"/>
    </row>
    <row r="541" spans="1:64" x14ac:dyDescent="0.55000000000000004">
      <c r="A541" s="2"/>
      <c r="B541" s="2"/>
      <c r="C541" s="2"/>
      <c r="D541" s="2"/>
      <c r="P541" s="4"/>
      <c r="AD541" s="4"/>
      <c r="BA541" s="7"/>
      <c r="BC541" s="4"/>
      <c r="BH541" s="4"/>
      <c r="BI541" s="32"/>
      <c r="BJ541" s="33"/>
      <c r="BK541" s="2"/>
      <c r="BL541" s="2"/>
    </row>
    <row r="542" spans="1:64" x14ac:dyDescent="0.55000000000000004">
      <c r="A542" s="2"/>
      <c r="B542" s="2"/>
      <c r="C542" s="2"/>
      <c r="D542" s="2"/>
      <c r="P542" s="4"/>
      <c r="AD542" s="4"/>
      <c r="BA542" s="7"/>
      <c r="BC542" s="4"/>
      <c r="BH542" s="4"/>
      <c r="BI542" s="32"/>
      <c r="BJ542" s="33"/>
      <c r="BK542" s="2"/>
      <c r="BL542" s="2"/>
    </row>
    <row r="543" spans="1:64" x14ac:dyDescent="0.55000000000000004">
      <c r="A543" s="2"/>
      <c r="B543" s="2"/>
      <c r="C543" s="2"/>
      <c r="D543" s="2"/>
      <c r="P543" s="4"/>
      <c r="AD543" s="4"/>
      <c r="BA543" s="7"/>
      <c r="BC543" s="4"/>
      <c r="BH543" s="4"/>
      <c r="BI543" s="32"/>
      <c r="BJ543" s="33"/>
      <c r="BK543" s="2"/>
      <c r="BL543" s="2"/>
    </row>
    <row r="544" spans="1:64" x14ac:dyDescent="0.55000000000000004">
      <c r="A544" s="2"/>
      <c r="B544" s="2"/>
      <c r="C544" s="2"/>
      <c r="D544" s="2"/>
      <c r="P544" s="4"/>
      <c r="AD544" s="4"/>
      <c r="BA544" s="7"/>
      <c r="BC544" s="4"/>
      <c r="BH544" s="4"/>
      <c r="BI544" s="32"/>
      <c r="BJ544" s="33"/>
      <c r="BK544" s="2"/>
      <c r="BL544" s="2"/>
    </row>
    <row r="545" spans="1:64" x14ac:dyDescent="0.55000000000000004">
      <c r="A545" s="2"/>
      <c r="B545" s="2"/>
      <c r="C545" s="2"/>
      <c r="D545" s="2"/>
      <c r="P545" s="4"/>
      <c r="AD545" s="4"/>
      <c r="BA545" s="7"/>
      <c r="BC545" s="4"/>
      <c r="BH545" s="4"/>
      <c r="BI545" s="32"/>
      <c r="BJ545" s="33"/>
      <c r="BK545" s="2"/>
      <c r="BL545" s="2"/>
    </row>
    <row r="546" spans="1:64" x14ac:dyDescent="0.55000000000000004">
      <c r="A546" s="2"/>
      <c r="B546" s="2"/>
      <c r="C546" s="2"/>
      <c r="D546" s="2"/>
      <c r="P546" s="4"/>
      <c r="AD546" s="4"/>
      <c r="BA546" s="7"/>
      <c r="BC546" s="4"/>
      <c r="BH546" s="4"/>
      <c r="BI546" s="32"/>
      <c r="BJ546" s="33"/>
      <c r="BK546" s="2"/>
      <c r="BL546" s="2"/>
    </row>
    <row r="547" spans="1:64" x14ac:dyDescent="0.55000000000000004">
      <c r="A547" s="2"/>
      <c r="B547" s="2"/>
      <c r="C547" s="2"/>
      <c r="D547" s="2"/>
      <c r="P547" s="4"/>
      <c r="AD547" s="4"/>
      <c r="BA547" s="7"/>
      <c r="BC547" s="4"/>
      <c r="BH547" s="4"/>
      <c r="BI547" s="32"/>
      <c r="BJ547" s="33"/>
      <c r="BK547" s="2"/>
      <c r="BL547" s="2"/>
    </row>
    <row r="548" spans="1:64" x14ac:dyDescent="0.55000000000000004">
      <c r="A548" s="2"/>
      <c r="B548" s="2"/>
      <c r="C548" s="2"/>
      <c r="D548" s="2"/>
      <c r="P548" s="4"/>
      <c r="AD548" s="4"/>
      <c r="BA548" s="7"/>
      <c r="BC548" s="4"/>
      <c r="BH548" s="4"/>
      <c r="BI548" s="32"/>
      <c r="BJ548" s="33"/>
      <c r="BK548" s="2"/>
      <c r="BL548" s="2"/>
    </row>
    <row r="549" spans="1:64" x14ac:dyDescent="0.55000000000000004">
      <c r="A549" s="2"/>
      <c r="B549" s="2"/>
      <c r="C549" s="2"/>
      <c r="D549" s="2"/>
      <c r="P549" s="4"/>
      <c r="AD549" s="4"/>
      <c r="BA549" s="7"/>
      <c r="BC549" s="4"/>
      <c r="BH549" s="4"/>
      <c r="BI549" s="32"/>
      <c r="BJ549" s="33"/>
      <c r="BK549" s="2"/>
      <c r="BL549" s="2"/>
    </row>
    <row r="550" spans="1:64" x14ac:dyDescent="0.55000000000000004">
      <c r="A550" s="2"/>
      <c r="B550" s="2"/>
      <c r="C550" s="2"/>
      <c r="D550" s="2"/>
      <c r="P550" s="4"/>
      <c r="AD550" s="4"/>
      <c r="BA550" s="7"/>
      <c r="BC550" s="4"/>
      <c r="BH550" s="4"/>
      <c r="BI550" s="32"/>
      <c r="BJ550" s="33"/>
      <c r="BK550" s="2"/>
      <c r="BL550" s="2"/>
    </row>
    <row r="551" spans="1:64" x14ac:dyDescent="0.55000000000000004">
      <c r="A551" s="2"/>
      <c r="B551" s="2"/>
      <c r="C551" s="2"/>
      <c r="D551" s="2"/>
      <c r="P551" s="4"/>
      <c r="AD551" s="4"/>
      <c r="BA551" s="7"/>
      <c r="BC551" s="4"/>
      <c r="BH551" s="4"/>
      <c r="BI551" s="32"/>
      <c r="BJ551" s="33"/>
      <c r="BK551" s="2"/>
      <c r="BL551" s="2"/>
    </row>
    <row r="552" spans="1:64" x14ac:dyDescent="0.55000000000000004">
      <c r="A552" s="2"/>
      <c r="B552" s="2"/>
      <c r="C552" s="2"/>
      <c r="D552" s="2"/>
      <c r="P552" s="4"/>
      <c r="AD552" s="4"/>
      <c r="BA552" s="7"/>
      <c r="BC552" s="4"/>
      <c r="BH552" s="4"/>
      <c r="BI552" s="32"/>
      <c r="BJ552" s="33"/>
      <c r="BK552" s="2"/>
      <c r="BL552" s="2"/>
    </row>
    <row r="553" spans="1:64" x14ac:dyDescent="0.55000000000000004">
      <c r="A553" s="2"/>
      <c r="B553" s="2"/>
      <c r="C553" s="2"/>
      <c r="D553" s="2"/>
      <c r="P553" s="4"/>
      <c r="AD553" s="4"/>
      <c r="BA553" s="7"/>
      <c r="BC553" s="4"/>
      <c r="BH553" s="4"/>
      <c r="BI553" s="32"/>
      <c r="BJ553" s="33"/>
      <c r="BK553" s="2"/>
      <c r="BL553" s="2"/>
    </row>
    <row r="554" spans="1:64" x14ac:dyDescent="0.55000000000000004">
      <c r="A554" s="2"/>
      <c r="B554" s="2"/>
      <c r="C554" s="2"/>
      <c r="D554" s="2"/>
      <c r="P554" s="4"/>
      <c r="AD554" s="4"/>
      <c r="BA554" s="7"/>
      <c r="BC554" s="4"/>
      <c r="BH554" s="4"/>
      <c r="BI554" s="32"/>
      <c r="BJ554" s="33"/>
      <c r="BK554" s="2"/>
      <c r="BL554" s="2"/>
    </row>
    <row r="555" spans="1:64" x14ac:dyDescent="0.55000000000000004">
      <c r="A555" s="2"/>
      <c r="B555" s="2"/>
      <c r="C555" s="2"/>
      <c r="D555" s="2"/>
      <c r="P555" s="4"/>
      <c r="AD555" s="4"/>
      <c r="BA555" s="7"/>
      <c r="BC555" s="4"/>
      <c r="BH555" s="4"/>
      <c r="BI555" s="32"/>
      <c r="BJ555" s="33"/>
      <c r="BK555" s="2"/>
      <c r="BL555" s="2"/>
    </row>
    <row r="556" spans="1:64" x14ac:dyDescent="0.55000000000000004">
      <c r="A556" s="2"/>
      <c r="B556" s="2"/>
      <c r="C556" s="2"/>
      <c r="D556" s="2"/>
      <c r="P556" s="4"/>
      <c r="AD556" s="4"/>
      <c r="BA556" s="7"/>
      <c r="BC556" s="4"/>
      <c r="BH556" s="4"/>
      <c r="BI556" s="32"/>
      <c r="BJ556" s="33"/>
      <c r="BK556" s="2"/>
      <c r="BL556" s="2"/>
    </row>
    <row r="557" spans="1:64" x14ac:dyDescent="0.55000000000000004">
      <c r="A557" s="2"/>
      <c r="B557" s="2"/>
      <c r="C557" s="2"/>
      <c r="D557" s="2"/>
      <c r="P557" s="4"/>
      <c r="AD557" s="4"/>
      <c r="BA557" s="7"/>
      <c r="BC557" s="4"/>
      <c r="BH557" s="4"/>
      <c r="BI557" s="32"/>
      <c r="BJ557" s="33"/>
      <c r="BK557" s="2"/>
      <c r="BL557" s="2"/>
    </row>
    <row r="558" spans="1:64" x14ac:dyDescent="0.55000000000000004">
      <c r="A558" s="2"/>
      <c r="B558" s="2"/>
      <c r="C558" s="2"/>
      <c r="D558" s="2"/>
      <c r="P558" s="4"/>
      <c r="AD558" s="4"/>
      <c r="BA558" s="7"/>
      <c r="BC558" s="4"/>
      <c r="BH558" s="4"/>
      <c r="BI558" s="32"/>
      <c r="BJ558" s="33"/>
      <c r="BK558" s="2"/>
      <c r="BL558" s="2"/>
    </row>
    <row r="559" spans="1:64" x14ac:dyDescent="0.55000000000000004">
      <c r="A559" s="2"/>
      <c r="B559" s="2"/>
      <c r="C559" s="2"/>
      <c r="D559" s="2"/>
      <c r="P559" s="4"/>
      <c r="AD559" s="4"/>
      <c r="BA559" s="7"/>
      <c r="BC559" s="4"/>
      <c r="BH559" s="4"/>
      <c r="BI559" s="32"/>
      <c r="BJ559" s="33"/>
      <c r="BK559" s="2"/>
      <c r="BL559" s="2"/>
    </row>
    <row r="560" spans="1:64" x14ac:dyDescent="0.55000000000000004">
      <c r="A560" s="2"/>
      <c r="B560" s="2"/>
      <c r="C560" s="2"/>
      <c r="D560" s="2"/>
      <c r="P560" s="4"/>
      <c r="AD560" s="4"/>
      <c r="BA560" s="7"/>
      <c r="BC560" s="4"/>
      <c r="BH560" s="4"/>
      <c r="BI560" s="32"/>
      <c r="BJ560" s="33"/>
      <c r="BK560" s="2"/>
      <c r="BL560" s="2"/>
    </row>
    <row r="561" spans="1:64" x14ac:dyDescent="0.55000000000000004">
      <c r="A561" s="2"/>
      <c r="B561" s="2"/>
      <c r="C561" s="2"/>
      <c r="D561" s="2"/>
      <c r="P561" s="4"/>
      <c r="AD561" s="4"/>
      <c r="BA561" s="7"/>
      <c r="BC561" s="4"/>
      <c r="BH561" s="4"/>
      <c r="BI561" s="32"/>
      <c r="BJ561" s="33"/>
      <c r="BK561" s="2"/>
      <c r="BL561" s="2"/>
    </row>
    <row r="562" spans="1:64" x14ac:dyDescent="0.55000000000000004">
      <c r="A562" s="2"/>
      <c r="B562" s="2"/>
      <c r="C562" s="2"/>
      <c r="D562" s="2"/>
      <c r="P562" s="4"/>
      <c r="AD562" s="4"/>
      <c r="BA562" s="7"/>
      <c r="BC562" s="4"/>
      <c r="BH562" s="4"/>
      <c r="BI562" s="32"/>
      <c r="BJ562" s="33"/>
      <c r="BK562" s="2"/>
      <c r="BL562" s="2"/>
    </row>
    <row r="563" spans="1:64" x14ac:dyDescent="0.55000000000000004">
      <c r="A563" s="2"/>
      <c r="B563" s="2"/>
      <c r="C563" s="2"/>
      <c r="D563" s="2"/>
      <c r="P563" s="4"/>
      <c r="AD563" s="4"/>
      <c r="BA563" s="7"/>
      <c r="BC563" s="4"/>
      <c r="BH563" s="4"/>
      <c r="BI563" s="32"/>
      <c r="BJ563" s="33"/>
      <c r="BK563" s="2"/>
      <c r="BL563" s="2"/>
    </row>
    <row r="564" spans="1:64" x14ac:dyDescent="0.55000000000000004">
      <c r="A564" s="2"/>
      <c r="B564" s="2"/>
      <c r="C564" s="2"/>
      <c r="D564" s="2"/>
      <c r="P564" s="4"/>
      <c r="AD564" s="4"/>
      <c r="BA564" s="7"/>
      <c r="BC564" s="4"/>
      <c r="BH564" s="4"/>
      <c r="BI564" s="32"/>
      <c r="BJ564" s="33"/>
      <c r="BK564" s="2"/>
      <c r="BL564" s="2"/>
    </row>
    <row r="565" spans="1:64" x14ac:dyDescent="0.55000000000000004">
      <c r="A565" s="2"/>
      <c r="B565" s="2"/>
      <c r="C565" s="2"/>
      <c r="D565" s="2"/>
      <c r="P565" s="4"/>
      <c r="AD565" s="4"/>
      <c r="BA565" s="7"/>
      <c r="BC565" s="4"/>
      <c r="BH565" s="4"/>
      <c r="BI565" s="32"/>
      <c r="BJ565" s="33"/>
      <c r="BK565" s="2"/>
      <c r="BL565" s="2"/>
    </row>
    <row r="566" spans="1:64" x14ac:dyDescent="0.55000000000000004">
      <c r="A566" s="2"/>
      <c r="B566" s="2"/>
      <c r="C566" s="2"/>
      <c r="D566" s="2"/>
      <c r="P566" s="4"/>
      <c r="AD566" s="4"/>
      <c r="BA566" s="7"/>
      <c r="BC566" s="4"/>
      <c r="BH566" s="4"/>
      <c r="BI566" s="32"/>
      <c r="BJ566" s="33"/>
      <c r="BK566" s="2"/>
      <c r="BL566" s="2"/>
    </row>
    <row r="567" spans="1:64" x14ac:dyDescent="0.55000000000000004">
      <c r="A567" s="2"/>
      <c r="B567" s="2"/>
      <c r="C567" s="2"/>
      <c r="D567" s="2"/>
      <c r="P567" s="4"/>
      <c r="AD567" s="4"/>
      <c r="BA567" s="7"/>
      <c r="BC567" s="4"/>
      <c r="BH567" s="4"/>
      <c r="BI567" s="32"/>
      <c r="BJ567" s="33"/>
      <c r="BK567" s="2"/>
      <c r="BL567" s="2"/>
    </row>
    <row r="568" spans="1:64" x14ac:dyDescent="0.55000000000000004">
      <c r="A568" s="2"/>
      <c r="B568" s="2"/>
      <c r="C568" s="2"/>
      <c r="D568" s="2"/>
      <c r="P568" s="4"/>
      <c r="AD568" s="4"/>
      <c r="BA568" s="7"/>
      <c r="BC568" s="4"/>
      <c r="BH568" s="4"/>
      <c r="BI568" s="32"/>
      <c r="BJ568" s="33"/>
      <c r="BK568" s="2"/>
      <c r="BL568" s="2"/>
    </row>
    <row r="569" spans="1:64" x14ac:dyDescent="0.55000000000000004">
      <c r="A569" s="2"/>
      <c r="B569" s="2"/>
      <c r="C569" s="2"/>
      <c r="D569" s="2"/>
      <c r="P569" s="4"/>
      <c r="AD569" s="4"/>
      <c r="BA569" s="7"/>
      <c r="BC569" s="4"/>
      <c r="BH569" s="4"/>
      <c r="BI569" s="32"/>
      <c r="BJ569" s="33"/>
      <c r="BK569" s="2"/>
      <c r="BL569" s="2"/>
    </row>
    <row r="570" spans="1:64" x14ac:dyDescent="0.55000000000000004">
      <c r="A570" s="2"/>
      <c r="B570" s="2"/>
      <c r="C570" s="2"/>
      <c r="D570" s="2"/>
      <c r="P570" s="4"/>
      <c r="AD570" s="4"/>
      <c r="BA570" s="7"/>
      <c r="BC570" s="4"/>
      <c r="BH570" s="4"/>
      <c r="BI570" s="32"/>
      <c r="BJ570" s="33"/>
      <c r="BK570" s="2"/>
      <c r="BL570" s="2"/>
    </row>
    <row r="571" spans="1:64" x14ac:dyDescent="0.55000000000000004">
      <c r="A571" s="2"/>
      <c r="B571" s="2"/>
      <c r="C571" s="2"/>
      <c r="D571" s="2"/>
      <c r="P571" s="4"/>
      <c r="AD571" s="4"/>
      <c r="BA571" s="7"/>
      <c r="BC571" s="4"/>
      <c r="BH571" s="4"/>
      <c r="BI571" s="32"/>
      <c r="BJ571" s="33"/>
      <c r="BK571" s="2"/>
      <c r="BL571" s="2"/>
    </row>
    <row r="572" spans="1:64" x14ac:dyDescent="0.55000000000000004">
      <c r="A572" s="2"/>
      <c r="B572" s="2"/>
      <c r="C572" s="2"/>
      <c r="D572" s="2"/>
      <c r="P572" s="4"/>
      <c r="AD572" s="4"/>
      <c r="BA572" s="7"/>
      <c r="BC572" s="4"/>
      <c r="BH572" s="4"/>
      <c r="BI572" s="32"/>
      <c r="BJ572" s="33"/>
      <c r="BK572" s="2"/>
      <c r="BL572" s="2"/>
    </row>
    <row r="573" spans="1:64" x14ac:dyDescent="0.55000000000000004">
      <c r="A573" s="2"/>
      <c r="B573" s="2"/>
      <c r="C573" s="2"/>
      <c r="D573" s="2"/>
      <c r="P573" s="4"/>
      <c r="AD573" s="4"/>
      <c r="BA573" s="7"/>
      <c r="BC573" s="4"/>
      <c r="BH573" s="4"/>
      <c r="BI573" s="32"/>
      <c r="BJ573" s="33"/>
      <c r="BK573" s="2"/>
      <c r="BL573" s="2"/>
    </row>
    <row r="574" spans="1:64" x14ac:dyDescent="0.55000000000000004">
      <c r="A574" s="2"/>
      <c r="B574" s="2"/>
      <c r="C574" s="2"/>
      <c r="D574" s="2"/>
      <c r="P574" s="4"/>
      <c r="AD574" s="4"/>
      <c r="BA574" s="7"/>
      <c r="BC574" s="4"/>
      <c r="BH574" s="4"/>
      <c r="BI574" s="32"/>
      <c r="BJ574" s="33"/>
      <c r="BK574" s="2"/>
      <c r="BL574" s="2"/>
    </row>
    <row r="575" spans="1:64" x14ac:dyDescent="0.55000000000000004">
      <c r="A575" s="2"/>
      <c r="B575" s="2"/>
      <c r="C575" s="2"/>
      <c r="D575" s="2"/>
      <c r="P575" s="4"/>
      <c r="AD575" s="4"/>
      <c r="BA575" s="7"/>
      <c r="BC575" s="4"/>
      <c r="BH575" s="4"/>
      <c r="BI575" s="32"/>
      <c r="BJ575" s="33"/>
      <c r="BK575" s="2"/>
      <c r="BL575" s="2"/>
    </row>
    <row r="576" spans="1:64" x14ac:dyDescent="0.55000000000000004">
      <c r="A576" s="2"/>
      <c r="B576" s="2"/>
      <c r="C576" s="2"/>
      <c r="D576" s="2"/>
      <c r="P576" s="4"/>
      <c r="AD576" s="4"/>
      <c r="BA576" s="7"/>
      <c r="BC576" s="4"/>
      <c r="BH576" s="4"/>
      <c r="BI576" s="32"/>
      <c r="BJ576" s="33"/>
      <c r="BK576" s="2"/>
      <c r="BL576" s="2"/>
    </row>
    <row r="577" spans="1:64" x14ac:dyDescent="0.55000000000000004">
      <c r="A577" s="2"/>
      <c r="B577" s="2"/>
      <c r="C577" s="2"/>
      <c r="D577" s="2"/>
      <c r="P577" s="4"/>
      <c r="AD577" s="4"/>
      <c r="BA577" s="7"/>
      <c r="BC577" s="4"/>
      <c r="BH577" s="4"/>
      <c r="BI577" s="32"/>
      <c r="BJ577" s="33"/>
      <c r="BK577" s="2"/>
      <c r="BL577" s="2"/>
    </row>
    <row r="578" spans="1:64" x14ac:dyDescent="0.55000000000000004">
      <c r="A578" s="2"/>
      <c r="B578" s="2"/>
      <c r="C578" s="2"/>
      <c r="D578" s="2"/>
      <c r="P578" s="4"/>
      <c r="AD578" s="4"/>
      <c r="BA578" s="7"/>
      <c r="BC578" s="4"/>
      <c r="BH578" s="4"/>
      <c r="BI578" s="32"/>
      <c r="BJ578" s="33"/>
      <c r="BK578" s="2"/>
      <c r="BL578" s="2"/>
    </row>
    <row r="579" spans="1:64" x14ac:dyDescent="0.55000000000000004">
      <c r="A579" s="2"/>
      <c r="B579" s="2"/>
      <c r="C579" s="2"/>
      <c r="D579" s="2"/>
      <c r="P579" s="4"/>
      <c r="AD579" s="4"/>
      <c r="BA579" s="7"/>
      <c r="BC579" s="4"/>
      <c r="BH579" s="4"/>
      <c r="BI579" s="32"/>
      <c r="BJ579" s="33"/>
      <c r="BK579" s="2"/>
      <c r="BL579" s="2"/>
    </row>
    <row r="580" spans="1:64" x14ac:dyDescent="0.55000000000000004">
      <c r="A580" s="2"/>
      <c r="B580" s="2"/>
      <c r="C580" s="2"/>
      <c r="D580" s="2"/>
      <c r="P580" s="4"/>
      <c r="AD580" s="4"/>
      <c r="BA580" s="7"/>
      <c r="BC580" s="4"/>
      <c r="BH580" s="4"/>
      <c r="BI580" s="32"/>
      <c r="BJ580" s="33"/>
      <c r="BK580" s="2"/>
      <c r="BL580" s="2"/>
    </row>
    <row r="581" spans="1:64" x14ac:dyDescent="0.55000000000000004">
      <c r="A581" s="2"/>
      <c r="B581" s="2"/>
      <c r="C581" s="2"/>
      <c r="D581" s="2"/>
      <c r="P581" s="4"/>
      <c r="AD581" s="4"/>
      <c r="BA581" s="7"/>
      <c r="BC581" s="4"/>
      <c r="BH581" s="4"/>
      <c r="BI581" s="32"/>
      <c r="BJ581" s="33"/>
      <c r="BK581" s="2"/>
      <c r="BL581" s="2"/>
    </row>
    <row r="582" spans="1:64" x14ac:dyDescent="0.55000000000000004">
      <c r="A582" s="2"/>
      <c r="B582" s="2"/>
      <c r="C582" s="2"/>
      <c r="D582" s="2"/>
      <c r="P582" s="4"/>
      <c r="AD582" s="4"/>
      <c r="BA582" s="7"/>
      <c r="BC582" s="4"/>
      <c r="BH582" s="4"/>
      <c r="BI582" s="32"/>
      <c r="BJ582" s="33"/>
      <c r="BK582" s="2"/>
      <c r="BL582" s="2"/>
    </row>
    <row r="583" spans="1:64" x14ac:dyDescent="0.55000000000000004">
      <c r="A583" s="2"/>
      <c r="B583" s="2"/>
      <c r="C583" s="2"/>
      <c r="D583" s="2"/>
      <c r="P583" s="4"/>
      <c r="AD583" s="4"/>
      <c r="BA583" s="7"/>
      <c r="BC583" s="4"/>
      <c r="BH583" s="4"/>
      <c r="BI583" s="32"/>
      <c r="BJ583" s="33"/>
      <c r="BK583" s="2"/>
      <c r="BL583" s="2"/>
    </row>
    <row r="584" spans="1:64" x14ac:dyDescent="0.55000000000000004">
      <c r="A584" s="2"/>
      <c r="B584" s="2"/>
      <c r="C584" s="2"/>
      <c r="D584" s="2"/>
      <c r="P584" s="4"/>
      <c r="AD584" s="4"/>
      <c r="BA584" s="7"/>
      <c r="BC584" s="4"/>
      <c r="BH584" s="4"/>
      <c r="BI584" s="32"/>
      <c r="BJ584" s="33"/>
      <c r="BK584" s="2"/>
      <c r="BL584" s="2"/>
    </row>
    <row r="585" spans="1:64" x14ac:dyDescent="0.55000000000000004">
      <c r="A585" s="2"/>
      <c r="B585" s="2"/>
      <c r="C585" s="2"/>
      <c r="D585" s="2"/>
      <c r="P585" s="4"/>
      <c r="AD585" s="4"/>
      <c r="BA585" s="7"/>
      <c r="BC585" s="4"/>
      <c r="BH585" s="4"/>
      <c r="BI585" s="32"/>
      <c r="BJ585" s="33"/>
      <c r="BK585" s="2"/>
      <c r="BL585" s="2"/>
    </row>
    <row r="586" spans="1:64" x14ac:dyDescent="0.55000000000000004">
      <c r="A586" s="2"/>
      <c r="B586" s="2"/>
      <c r="C586" s="2"/>
      <c r="D586" s="2"/>
      <c r="P586" s="4"/>
      <c r="AD586" s="4"/>
      <c r="BA586" s="7"/>
      <c r="BC586" s="4"/>
      <c r="BH586" s="4"/>
      <c r="BI586" s="32"/>
      <c r="BJ586" s="33"/>
      <c r="BK586" s="2"/>
      <c r="BL586" s="2"/>
    </row>
    <row r="587" spans="1:64" x14ac:dyDescent="0.55000000000000004">
      <c r="A587" s="2"/>
      <c r="B587" s="2"/>
      <c r="C587" s="2"/>
      <c r="D587" s="2"/>
      <c r="P587" s="4"/>
      <c r="AD587" s="4"/>
      <c r="BA587" s="7"/>
      <c r="BC587" s="4"/>
      <c r="BH587" s="4"/>
      <c r="BI587" s="32"/>
      <c r="BJ587" s="33"/>
      <c r="BK587" s="2"/>
      <c r="BL587" s="2"/>
    </row>
    <row r="588" spans="1:64" x14ac:dyDescent="0.55000000000000004">
      <c r="A588" s="2"/>
      <c r="B588" s="2"/>
      <c r="C588" s="2"/>
      <c r="D588" s="2"/>
      <c r="P588" s="4"/>
      <c r="AD588" s="4"/>
      <c r="BA588" s="7"/>
      <c r="BC588" s="4"/>
      <c r="BH588" s="4"/>
      <c r="BI588" s="32"/>
      <c r="BJ588" s="33"/>
      <c r="BK588" s="2"/>
      <c r="BL588" s="2"/>
    </row>
    <row r="589" spans="1:64" x14ac:dyDescent="0.55000000000000004">
      <c r="A589" s="2"/>
      <c r="B589" s="2"/>
      <c r="C589" s="2"/>
      <c r="D589" s="2"/>
      <c r="P589" s="4"/>
      <c r="AD589" s="4"/>
      <c r="BA589" s="7"/>
      <c r="BC589" s="4"/>
      <c r="BH589" s="4"/>
      <c r="BI589" s="32"/>
      <c r="BJ589" s="33"/>
      <c r="BK589" s="2"/>
      <c r="BL589" s="2"/>
    </row>
    <row r="590" spans="1:64" x14ac:dyDescent="0.55000000000000004">
      <c r="A590" s="2"/>
      <c r="B590" s="2"/>
      <c r="C590" s="2"/>
      <c r="D590" s="2"/>
      <c r="P590" s="4"/>
      <c r="AD590" s="4"/>
      <c r="BA590" s="7"/>
      <c r="BC590" s="4"/>
      <c r="BH590" s="4"/>
      <c r="BI590" s="32"/>
      <c r="BJ590" s="33"/>
      <c r="BK590" s="2"/>
      <c r="BL590" s="2"/>
    </row>
    <row r="591" spans="1:64" x14ac:dyDescent="0.55000000000000004">
      <c r="A591" s="2"/>
      <c r="B591" s="2"/>
      <c r="C591" s="2"/>
      <c r="D591" s="2"/>
      <c r="P591" s="4"/>
      <c r="AD591" s="4"/>
      <c r="BA591" s="7"/>
      <c r="BC591" s="4"/>
      <c r="BH591" s="4"/>
      <c r="BI591" s="32"/>
      <c r="BJ591" s="33"/>
      <c r="BK591" s="2"/>
      <c r="BL591" s="2"/>
    </row>
    <row r="592" spans="1:64" x14ac:dyDescent="0.55000000000000004">
      <c r="A592" s="2"/>
      <c r="B592" s="2"/>
      <c r="C592" s="2"/>
      <c r="D592" s="2"/>
      <c r="P592" s="4"/>
      <c r="AD592" s="4"/>
      <c r="BA592" s="7"/>
      <c r="BC592" s="4"/>
      <c r="BH592" s="4"/>
      <c r="BI592" s="32"/>
      <c r="BJ592" s="33"/>
      <c r="BK592" s="2"/>
      <c r="BL592" s="2"/>
    </row>
    <row r="593" spans="1:64" x14ac:dyDescent="0.55000000000000004">
      <c r="A593" s="2"/>
      <c r="B593" s="2"/>
      <c r="C593" s="2"/>
      <c r="D593" s="2"/>
      <c r="P593" s="4"/>
      <c r="AD593" s="4"/>
      <c r="BA593" s="7"/>
      <c r="BC593" s="4"/>
      <c r="BH593" s="4"/>
      <c r="BI593" s="32"/>
      <c r="BJ593" s="33"/>
      <c r="BK593" s="2"/>
      <c r="BL593" s="2"/>
    </row>
    <row r="594" spans="1:64" x14ac:dyDescent="0.55000000000000004">
      <c r="A594" s="2"/>
      <c r="B594" s="2"/>
      <c r="C594" s="2"/>
      <c r="D594" s="2"/>
      <c r="P594" s="4"/>
      <c r="AD594" s="4"/>
      <c r="BA594" s="7"/>
      <c r="BC594" s="4"/>
      <c r="BH594" s="4"/>
      <c r="BI594" s="32"/>
      <c r="BJ594" s="33"/>
      <c r="BK594" s="2"/>
      <c r="BL594" s="2"/>
    </row>
    <row r="595" spans="1:64" x14ac:dyDescent="0.55000000000000004">
      <c r="A595" s="2"/>
      <c r="B595" s="2"/>
      <c r="C595" s="2"/>
      <c r="D595" s="2"/>
      <c r="P595" s="4"/>
      <c r="AD595" s="4"/>
      <c r="BA595" s="7"/>
      <c r="BC595" s="4"/>
      <c r="BH595" s="4"/>
      <c r="BI595" s="32"/>
      <c r="BJ595" s="33"/>
      <c r="BK595" s="2"/>
      <c r="BL595" s="2"/>
    </row>
    <row r="596" spans="1:64" x14ac:dyDescent="0.55000000000000004">
      <c r="A596" s="2"/>
      <c r="B596" s="2"/>
      <c r="C596" s="2"/>
      <c r="D596" s="2"/>
      <c r="P596" s="4"/>
      <c r="AD596" s="4"/>
      <c r="BA596" s="7"/>
      <c r="BC596" s="4"/>
      <c r="BH596" s="4"/>
      <c r="BI596" s="32"/>
      <c r="BJ596" s="33"/>
      <c r="BK596" s="2"/>
      <c r="BL596" s="2"/>
    </row>
    <row r="597" spans="1:64" x14ac:dyDescent="0.55000000000000004">
      <c r="A597" s="2"/>
      <c r="B597" s="2"/>
      <c r="C597" s="2"/>
      <c r="D597" s="2"/>
      <c r="P597" s="4"/>
      <c r="AD597" s="4"/>
      <c r="BA597" s="7"/>
      <c r="BC597" s="4"/>
      <c r="BH597" s="4"/>
      <c r="BI597" s="32"/>
      <c r="BJ597" s="33"/>
      <c r="BK597" s="2"/>
      <c r="BL597" s="2"/>
    </row>
    <row r="598" spans="1:64" x14ac:dyDescent="0.55000000000000004">
      <c r="A598" s="2"/>
      <c r="B598" s="2"/>
      <c r="C598" s="2"/>
      <c r="D598" s="2"/>
      <c r="P598" s="4"/>
      <c r="AD598" s="4"/>
      <c r="BA598" s="7"/>
      <c r="BC598" s="4"/>
      <c r="BH598" s="4"/>
      <c r="BI598" s="32"/>
      <c r="BJ598" s="33"/>
      <c r="BK598" s="2"/>
      <c r="BL598" s="2"/>
    </row>
    <row r="599" spans="1:64" x14ac:dyDescent="0.55000000000000004">
      <c r="A599" s="2"/>
      <c r="B599" s="2"/>
      <c r="C599" s="2"/>
      <c r="D599" s="2"/>
      <c r="P599" s="4"/>
      <c r="AD599" s="4"/>
      <c r="BA599" s="7"/>
      <c r="BC599" s="4"/>
      <c r="BH599" s="4"/>
      <c r="BI599" s="32"/>
      <c r="BJ599" s="33"/>
      <c r="BK599" s="2"/>
      <c r="BL599" s="2"/>
    </row>
    <row r="600" spans="1:64" x14ac:dyDescent="0.55000000000000004">
      <c r="A600" s="2"/>
      <c r="B600" s="2"/>
      <c r="C600" s="2"/>
      <c r="D600" s="2"/>
      <c r="P600" s="4"/>
      <c r="AD600" s="4"/>
      <c r="BA600" s="7"/>
      <c r="BC600" s="4"/>
      <c r="BH600" s="4"/>
      <c r="BI600" s="32"/>
      <c r="BJ600" s="33"/>
      <c r="BK600" s="2"/>
      <c r="BL600" s="2"/>
    </row>
    <row r="601" spans="1:64" x14ac:dyDescent="0.55000000000000004">
      <c r="A601" s="2"/>
      <c r="B601" s="2"/>
      <c r="C601" s="2"/>
      <c r="D601" s="2"/>
      <c r="P601" s="4"/>
      <c r="AD601" s="4"/>
      <c r="BA601" s="7"/>
      <c r="BC601" s="4"/>
      <c r="BH601" s="4"/>
      <c r="BI601" s="32"/>
      <c r="BJ601" s="33"/>
      <c r="BK601" s="2"/>
      <c r="BL601" s="2"/>
    </row>
    <row r="602" spans="1:64" x14ac:dyDescent="0.55000000000000004">
      <c r="A602" s="2"/>
      <c r="B602" s="2"/>
      <c r="C602" s="2"/>
      <c r="D602" s="2"/>
      <c r="P602" s="4"/>
      <c r="AD602" s="4"/>
      <c r="BA602" s="7"/>
      <c r="BC602" s="4"/>
      <c r="BH602" s="4"/>
      <c r="BI602" s="32"/>
      <c r="BJ602" s="33"/>
      <c r="BK602" s="2"/>
      <c r="BL602" s="2"/>
    </row>
    <row r="603" spans="1:64" x14ac:dyDescent="0.55000000000000004">
      <c r="A603" s="2"/>
      <c r="B603" s="2"/>
      <c r="C603" s="2"/>
      <c r="D603" s="2"/>
      <c r="P603" s="4"/>
      <c r="AD603" s="4"/>
      <c r="BA603" s="7"/>
      <c r="BC603" s="4"/>
      <c r="BH603" s="4"/>
      <c r="BI603" s="32"/>
      <c r="BJ603" s="33"/>
      <c r="BK603" s="2"/>
      <c r="BL603" s="2"/>
    </row>
    <row r="604" spans="1:64" x14ac:dyDescent="0.55000000000000004">
      <c r="A604" s="2"/>
      <c r="B604" s="2"/>
      <c r="C604" s="2"/>
      <c r="D604" s="2"/>
      <c r="P604" s="4"/>
      <c r="AD604" s="4"/>
      <c r="BA604" s="7"/>
      <c r="BC604" s="4"/>
      <c r="BH604" s="4"/>
      <c r="BI604" s="32"/>
      <c r="BJ604" s="33"/>
      <c r="BK604" s="2"/>
      <c r="BL604" s="2"/>
    </row>
    <row r="605" spans="1:64" x14ac:dyDescent="0.55000000000000004">
      <c r="A605" s="2"/>
      <c r="B605" s="2"/>
      <c r="C605" s="2"/>
      <c r="D605" s="2"/>
      <c r="P605" s="4"/>
      <c r="AD605" s="4"/>
      <c r="BA605" s="7"/>
      <c r="BC605" s="4"/>
      <c r="BH605" s="4"/>
      <c r="BI605" s="32"/>
      <c r="BJ605" s="33"/>
      <c r="BK605" s="2"/>
      <c r="BL605" s="2"/>
    </row>
    <row r="606" spans="1:64" x14ac:dyDescent="0.55000000000000004">
      <c r="A606" s="2"/>
      <c r="B606" s="2"/>
      <c r="C606" s="2"/>
      <c r="D606" s="2"/>
      <c r="P606" s="4"/>
      <c r="AD606" s="4"/>
      <c r="BA606" s="7"/>
      <c r="BC606" s="4"/>
      <c r="BH606" s="4"/>
      <c r="BI606" s="32"/>
      <c r="BJ606" s="33"/>
      <c r="BK606" s="2"/>
      <c r="BL606" s="2"/>
    </row>
    <row r="607" spans="1:64" x14ac:dyDescent="0.55000000000000004">
      <c r="A607" s="2"/>
      <c r="B607" s="2"/>
      <c r="C607" s="2"/>
      <c r="D607" s="2"/>
      <c r="P607" s="4"/>
      <c r="AD607" s="4"/>
      <c r="BA607" s="7"/>
      <c r="BC607" s="4"/>
      <c r="BH607" s="4"/>
      <c r="BI607" s="32"/>
      <c r="BJ607" s="33"/>
      <c r="BK607" s="2"/>
      <c r="BL607" s="2"/>
    </row>
    <row r="608" spans="1:64" x14ac:dyDescent="0.55000000000000004">
      <c r="A608" s="2"/>
      <c r="B608" s="2"/>
      <c r="C608" s="2"/>
      <c r="D608" s="2"/>
      <c r="P608" s="4"/>
      <c r="AD608" s="4"/>
      <c r="BA608" s="7"/>
      <c r="BC608" s="4"/>
      <c r="BH608" s="4"/>
      <c r="BI608" s="32"/>
      <c r="BJ608" s="33"/>
      <c r="BK608" s="2"/>
      <c r="BL608" s="2"/>
    </row>
    <row r="609" spans="1:64" x14ac:dyDescent="0.55000000000000004">
      <c r="A609" s="2"/>
      <c r="B609" s="2"/>
      <c r="C609" s="2"/>
      <c r="D609" s="2"/>
      <c r="P609" s="4"/>
      <c r="AD609" s="4"/>
      <c r="BA609" s="7"/>
      <c r="BC609" s="4"/>
      <c r="BH609" s="4"/>
      <c r="BI609" s="32"/>
      <c r="BJ609" s="33"/>
      <c r="BK609" s="2"/>
      <c r="BL609" s="2"/>
    </row>
    <row r="610" spans="1:64" x14ac:dyDescent="0.55000000000000004">
      <c r="A610" s="8"/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0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11"/>
      <c r="BB610" s="9"/>
      <c r="BC610" s="10"/>
      <c r="BD610" s="9"/>
      <c r="BE610" s="9"/>
      <c r="BF610" s="9"/>
      <c r="BG610" s="9"/>
      <c r="BH610" s="10"/>
      <c r="BI610" s="32"/>
      <c r="BJ610" s="33"/>
      <c r="BK610" s="8"/>
      <c r="BL610" s="8"/>
    </row>
  </sheetData>
  <mergeCells count="614">
    <mergeCell ref="BD1:BH3"/>
    <mergeCell ref="BI1:BJ3"/>
    <mergeCell ref="BK1:BL2"/>
    <mergeCell ref="BI5:BJ5"/>
    <mergeCell ref="BI6:BJ6"/>
    <mergeCell ref="BI7:BJ7"/>
    <mergeCell ref="A1:C3"/>
    <mergeCell ref="D1:D3"/>
    <mergeCell ref="E1:P3"/>
    <mergeCell ref="Q1:AD3"/>
    <mergeCell ref="AE1:AZ3"/>
    <mergeCell ref="BA1:BC3"/>
    <mergeCell ref="BI14:BJ14"/>
    <mergeCell ref="BI15:BJ15"/>
    <mergeCell ref="BI16:BJ16"/>
    <mergeCell ref="BI17:BJ17"/>
    <mergeCell ref="BI18:BJ18"/>
    <mergeCell ref="BI19:BJ19"/>
    <mergeCell ref="BI8:BJ8"/>
    <mergeCell ref="BI9:BJ9"/>
    <mergeCell ref="BI10:BJ10"/>
    <mergeCell ref="BI11:BJ11"/>
    <mergeCell ref="BI12:BJ12"/>
    <mergeCell ref="BI13:BJ13"/>
    <mergeCell ref="BI26:BJ26"/>
    <mergeCell ref="BI27:BJ27"/>
    <mergeCell ref="BI28:BJ28"/>
    <mergeCell ref="BI29:BJ29"/>
    <mergeCell ref="BI30:BJ30"/>
    <mergeCell ref="BI31:BJ31"/>
    <mergeCell ref="BI20:BJ20"/>
    <mergeCell ref="BI21:BJ21"/>
    <mergeCell ref="BI22:BJ22"/>
    <mergeCell ref="BI23:BJ23"/>
    <mergeCell ref="BI24:BJ24"/>
    <mergeCell ref="BI25:BJ25"/>
    <mergeCell ref="BI38:BJ38"/>
    <mergeCell ref="BI39:BJ39"/>
    <mergeCell ref="BI40:BJ40"/>
    <mergeCell ref="BI41:BJ41"/>
    <mergeCell ref="BI42:BJ42"/>
    <mergeCell ref="BI43:BJ43"/>
    <mergeCell ref="BI32:BJ32"/>
    <mergeCell ref="BI33:BJ33"/>
    <mergeCell ref="BI34:BJ34"/>
    <mergeCell ref="BI35:BJ35"/>
    <mergeCell ref="BI36:BJ36"/>
    <mergeCell ref="BI37:BJ37"/>
    <mergeCell ref="BI50:BJ50"/>
    <mergeCell ref="BI51:BJ51"/>
    <mergeCell ref="BI52:BJ52"/>
    <mergeCell ref="BI53:BJ53"/>
    <mergeCell ref="BI54:BJ54"/>
    <mergeCell ref="BI55:BJ55"/>
    <mergeCell ref="BI44:BJ44"/>
    <mergeCell ref="BI45:BJ45"/>
    <mergeCell ref="BI46:BJ46"/>
    <mergeCell ref="BI47:BJ47"/>
    <mergeCell ref="BI48:BJ48"/>
    <mergeCell ref="BI49:BJ49"/>
    <mergeCell ref="BI62:BJ62"/>
    <mergeCell ref="BI63:BJ63"/>
    <mergeCell ref="BI64:BJ64"/>
    <mergeCell ref="BI65:BJ65"/>
    <mergeCell ref="BI66:BJ66"/>
    <mergeCell ref="BI67:BJ67"/>
    <mergeCell ref="BI56:BJ56"/>
    <mergeCell ref="BI57:BJ57"/>
    <mergeCell ref="BI58:BJ58"/>
    <mergeCell ref="BI59:BJ59"/>
    <mergeCell ref="BI60:BJ60"/>
    <mergeCell ref="BI61:BJ61"/>
    <mergeCell ref="BI74:BJ74"/>
    <mergeCell ref="BI75:BJ75"/>
    <mergeCell ref="BI76:BJ76"/>
    <mergeCell ref="BI77:BJ77"/>
    <mergeCell ref="BI78:BJ78"/>
    <mergeCell ref="BI79:BJ79"/>
    <mergeCell ref="BI68:BJ68"/>
    <mergeCell ref="BI69:BJ69"/>
    <mergeCell ref="BI70:BJ70"/>
    <mergeCell ref="BI71:BJ71"/>
    <mergeCell ref="BI72:BJ72"/>
    <mergeCell ref="BI73:BJ73"/>
    <mergeCell ref="BI86:BJ86"/>
    <mergeCell ref="BI87:BJ87"/>
    <mergeCell ref="BI88:BJ88"/>
    <mergeCell ref="BI89:BJ89"/>
    <mergeCell ref="BI90:BJ90"/>
    <mergeCell ref="BI91:BJ91"/>
    <mergeCell ref="BI80:BJ80"/>
    <mergeCell ref="BI81:BJ81"/>
    <mergeCell ref="BI82:BJ82"/>
    <mergeCell ref="BI83:BJ83"/>
    <mergeCell ref="BI84:BJ84"/>
    <mergeCell ref="BI85:BJ85"/>
    <mergeCell ref="BI98:BJ98"/>
    <mergeCell ref="BI99:BJ99"/>
    <mergeCell ref="BI100:BJ100"/>
    <mergeCell ref="BI101:BJ101"/>
    <mergeCell ref="BI102:BJ102"/>
    <mergeCell ref="BI103:BJ103"/>
    <mergeCell ref="BI92:BJ92"/>
    <mergeCell ref="BI93:BJ93"/>
    <mergeCell ref="BI94:BJ94"/>
    <mergeCell ref="BI95:BJ95"/>
    <mergeCell ref="BI96:BJ96"/>
    <mergeCell ref="BI97:BJ97"/>
    <mergeCell ref="BI111:BJ111"/>
    <mergeCell ref="BI112:BJ112"/>
    <mergeCell ref="BI113:BJ113"/>
    <mergeCell ref="BI114:BJ114"/>
    <mergeCell ref="BI115:BJ115"/>
    <mergeCell ref="BI116:BJ116"/>
    <mergeCell ref="BI104:BJ104"/>
    <mergeCell ref="BI105:BJ105"/>
    <mergeCell ref="BI106:BJ106"/>
    <mergeCell ref="BI107:BJ107"/>
    <mergeCell ref="BI108:BJ108"/>
    <mergeCell ref="BI110:BJ110"/>
    <mergeCell ref="BI123:BJ123"/>
    <mergeCell ref="BI124:BJ124"/>
    <mergeCell ref="BI125:BJ125"/>
    <mergeCell ref="BI126:BJ126"/>
    <mergeCell ref="BI127:BJ127"/>
    <mergeCell ref="BI128:BJ128"/>
    <mergeCell ref="BI117:BJ117"/>
    <mergeCell ref="BI118:BJ118"/>
    <mergeCell ref="BI119:BJ119"/>
    <mergeCell ref="BI120:BJ120"/>
    <mergeCell ref="BI121:BJ121"/>
    <mergeCell ref="BI122:BJ122"/>
    <mergeCell ref="BI135:BJ135"/>
    <mergeCell ref="BI136:BJ136"/>
    <mergeCell ref="BI137:BJ137"/>
    <mergeCell ref="BI138:BJ138"/>
    <mergeCell ref="BI139:BJ139"/>
    <mergeCell ref="BI140:BJ140"/>
    <mergeCell ref="BI129:BJ129"/>
    <mergeCell ref="BI130:BJ130"/>
    <mergeCell ref="BI131:BJ131"/>
    <mergeCell ref="BI132:BJ132"/>
    <mergeCell ref="BI133:BJ133"/>
    <mergeCell ref="BI134:BJ134"/>
    <mergeCell ref="BI147:BJ147"/>
    <mergeCell ref="BI148:BJ148"/>
    <mergeCell ref="BI149:BJ149"/>
    <mergeCell ref="BI150:BJ150"/>
    <mergeCell ref="BI151:BJ151"/>
    <mergeCell ref="BI152:BJ152"/>
    <mergeCell ref="BI141:BJ141"/>
    <mergeCell ref="BI142:BJ142"/>
    <mergeCell ref="BI143:BJ143"/>
    <mergeCell ref="BI144:BJ144"/>
    <mergeCell ref="BI145:BJ145"/>
    <mergeCell ref="BI146:BJ146"/>
    <mergeCell ref="BI159:BJ159"/>
    <mergeCell ref="BI160:BJ160"/>
    <mergeCell ref="BI161:BJ161"/>
    <mergeCell ref="BI162:BJ162"/>
    <mergeCell ref="BI163:BJ163"/>
    <mergeCell ref="BI164:BJ164"/>
    <mergeCell ref="BI153:BJ153"/>
    <mergeCell ref="BI154:BJ154"/>
    <mergeCell ref="BI155:BJ155"/>
    <mergeCell ref="BI156:BJ156"/>
    <mergeCell ref="BI157:BJ157"/>
    <mergeCell ref="BI158:BJ158"/>
    <mergeCell ref="BI171:BJ171"/>
    <mergeCell ref="BI172:BJ172"/>
    <mergeCell ref="BI173:BJ173"/>
    <mergeCell ref="BI174:BJ174"/>
    <mergeCell ref="BI175:BJ175"/>
    <mergeCell ref="BI176:BJ176"/>
    <mergeCell ref="BI165:BJ165"/>
    <mergeCell ref="BI166:BJ166"/>
    <mergeCell ref="BI167:BJ167"/>
    <mergeCell ref="BI168:BJ168"/>
    <mergeCell ref="BI169:BJ169"/>
    <mergeCell ref="BI170:BJ170"/>
    <mergeCell ref="BI183:BJ183"/>
    <mergeCell ref="BI184:BJ184"/>
    <mergeCell ref="BI185:BJ185"/>
    <mergeCell ref="BI186:BJ186"/>
    <mergeCell ref="BI187:BJ187"/>
    <mergeCell ref="BI188:BJ188"/>
    <mergeCell ref="BI177:BJ177"/>
    <mergeCell ref="BI178:BJ178"/>
    <mergeCell ref="BI179:BJ179"/>
    <mergeCell ref="BI180:BJ180"/>
    <mergeCell ref="BI181:BJ181"/>
    <mergeCell ref="BI182:BJ182"/>
    <mergeCell ref="BI195:BJ195"/>
    <mergeCell ref="BI196:BJ196"/>
    <mergeCell ref="BI197:BJ197"/>
    <mergeCell ref="BI198:BJ198"/>
    <mergeCell ref="BI199:BJ199"/>
    <mergeCell ref="BI200:BJ200"/>
    <mergeCell ref="BI189:BJ189"/>
    <mergeCell ref="BI190:BJ190"/>
    <mergeCell ref="BI191:BJ191"/>
    <mergeCell ref="BI192:BJ192"/>
    <mergeCell ref="BI193:BJ193"/>
    <mergeCell ref="BI194:BJ194"/>
    <mergeCell ref="BI207:BJ207"/>
    <mergeCell ref="BI208:BJ208"/>
    <mergeCell ref="BI209:BJ209"/>
    <mergeCell ref="BI210:BJ210"/>
    <mergeCell ref="BI211:BJ211"/>
    <mergeCell ref="BI212:BJ212"/>
    <mergeCell ref="BI201:BJ201"/>
    <mergeCell ref="BI202:BJ202"/>
    <mergeCell ref="BI203:BJ203"/>
    <mergeCell ref="BI204:BJ204"/>
    <mergeCell ref="BI205:BJ205"/>
    <mergeCell ref="BI206:BJ206"/>
    <mergeCell ref="BI219:BJ219"/>
    <mergeCell ref="BI220:BJ220"/>
    <mergeCell ref="BI221:BJ221"/>
    <mergeCell ref="BI222:BJ222"/>
    <mergeCell ref="BI223:BJ223"/>
    <mergeCell ref="BI224:BJ224"/>
    <mergeCell ref="BI213:BJ213"/>
    <mergeCell ref="BI214:BJ214"/>
    <mergeCell ref="BI215:BJ215"/>
    <mergeCell ref="BI216:BJ216"/>
    <mergeCell ref="BI217:BJ217"/>
    <mergeCell ref="BI218:BJ218"/>
    <mergeCell ref="BI231:BJ231"/>
    <mergeCell ref="BI232:BJ232"/>
    <mergeCell ref="BI233:BJ233"/>
    <mergeCell ref="BI234:BJ234"/>
    <mergeCell ref="BI235:BJ235"/>
    <mergeCell ref="BI236:BJ236"/>
    <mergeCell ref="BI225:BJ225"/>
    <mergeCell ref="BI226:BJ226"/>
    <mergeCell ref="BI227:BJ227"/>
    <mergeCell ref="BI228:BJ228"/>
    <mergeCell ref="BI229:BJ229"/>
    <mergeCell ref="BI230:BJ230"/>
    <mergeCell ref="BI243:BJ243"/>
    <mergeCell ref="BI244:BJ244"/>
    <mergeCell ref="BI245:BJ245"/>
    <mergeCell ref="BI246:BJ246"/>
    <mergeCell ref="BI247:BJ247"/>
    <mergeCell ref="BI248:BJ248"/>
    <mergeCell ref="BI237:BJ237"/>
    <mergeCell ref="BI238:BJ238"/>
    <mergeCell ref="BI239:BJ239"/>
    <mergeCell ref="BI240:BJ240"/>
    <mergeCell ref="BI241:BJ241"/>
    <mergeCell ref="BI242:BJ242"/>
    <mergeCell ref="BI255:BJ255"/>
    <mergeCell ref="BI256:BJ256"/>
    <mergeCell ref="BI257:BJ257"/>
    <mergeCell ref="BI258:BJ258"/>
    <mergeCell ref="BI259:BJ259"/>
    <mergeCell ref="BI260:BJ260"/>
    <mergeCell ref="BI249:BJ249"/>
    <mergeCell ref="BI250:BJ250"/>
    <mergeCell ref="BI251:BJ251"/>
    <mergeCell ref="BI252:BJ252"/>
    <mergeCell ref="BI253:BJ253"/>
    <mergeCell ref="BI254:BJ254"/>
    <mergeCell ref="BI267:BJ267"/>
    <mergeCell ref="BI268:BJ268"/>
    <mergeCell ref="BI269:BJ269"/>
    <mergeCell ref="BI270:BJ270"/>
    <mergeCell ref="BI271:BJ271"/>
    <mergeCell ref="BI272:BJ272"/>
    <mergeCell ref="BI261:BJ261"/>
    <mergeCell ref="BI262:BJ262"/>
    <mergeCell ref="BI263:BJ263"/>
    <mergeCell ref="BI264:BJ264"/>
    <mergeCell ref="BI265:BJ265"/>
    <mergeCell ref="BI266:BJ266"/>
    <mergeCell ref="BI279:BJ279"/>
    <mergeCell ref="BI280:BJ280"/>
    <mergeCell ref="BI281:BJ281"/>
    <mergeCell ref="BI282:BJ282"/>
    <mergeCell ref="BI283:BJ283"/>
    <mergeCell ref="BI284:BJ284"/>
    <mergeCell ref="BI273:BJ273"/>
    <mergeCell ref="BI274:BJ274"/>
    <mergeCell ref="BI275:BJ275"/>
    <mergeCell ref="BI276:BJ276"/>
    <mergeCell ref="BI277:BJ277"/>
    <mergeCell ref="BI278:BJ278"/>
    <mergeCell ref="BI291:BJ291"/>
    <mergeCell ref="BI292:BJ292"/>
    <mergeCell ref="BI293:BJ293"/>
    <mergeCell ref="BI294:BJ294"/>
    <mergeCell ref="BI295:BJ295"/>
    <mergeCell ref="BI296:BJ296"/>
    <mergeCell ref="BI285:BJ285"/>
    <mergeCell ref="BI286:BJ286"/>
    <mergeCell ref="BI287:BJ287"/>
    <mergeCell ref="BI288:BJ288"/>
    <mergeCell ref="BI289:BJ289"/>
    <mergeCell ref="BI290:BJ290"/>
    <mergeCell ref="BI303:BJ303"/>
    <mergeCell ref="BI304:BJ304"/>
    <mergeCell ref="BI305:BJ305"/>
    <mergeCell ref="BI306:BJ306"/>
    <mergeCell ref="BI307:BJ307"/>
    <mergeCell ref="BI308:BJ308"/>
    <mergeCell ref="BI297:BJ297"/>
    <mergeCell ref="BI298:BJ298"/>
    <mergeCell ref="BI299:BJ299"/>
    <mergeCell ref="BI300:BJ300"/>
    <mergeCell ref="BI301:BJ301"/>
    <mergeCell ref="BI302:BJ302"/>
    <mergeCell ref="BI315:BJ315"/>
    <mergeCell ref="BI316:BJ316"/>
    <mergeCell ref="BI317:BJ317"/>
    <mergeCell ref="BI318:BJ318"/>
    <mergeCell ref="BI319:BJ319"/>
    <mergeCell ref="BI320:BJ320"/>
    <mergeCell ref="BI309:BJ309"/>
    <mergeCell ref="BI310:BJ310"/>
    <mergeCell ref="BI311:BJ311"/>
    <mergeCell ref="BI312:BJ312"/>
    <mergeCell ref="BI313:BJ313"/>
    <mergeCell ref="BI314:BJ314"/>
    <mergeCell ref="BI327:BJ327"/>
    <mergeCell ref="BI328:BJ328"/>
    <mergeCell ref="BI329:BJ329"/>
    <mergeCell ref="BI330:BJ330"/>
    <mergeCell ref="BI331:BJ331"/>
    <mergeCell ref="BI332:BJ332"/>
    <mergeCell ref="BI321:BJ321"/>
    <mergeCell ref="BI322:BJ322"/>
    <mergeCell ref="BI323:BJ323"/>
    <mergeCell ref="BI324:BJ324"/>
    <mergeCell ref="BI325:BJ325"/>
    <mergeCell ref="BI326:BJ326"/>
    <mergeCell ref="BI339:BJ339"/>
    <mergeCell ref="BI340:BJ340"/>
    <mergeCell ref="BI341:BJ341"/>
    <mergeCell ref="BI342:BJ342"/>
    <mergeCell ref="BI343:BJ343"/>
    <mergeCell ref="BI344:BJ344"/>
    <mergeCell ref="BI333:BJ333"/>
    <mergeCell ref="BI334:BJ334"/>
    <mergeCell ref="BI335:BJ335"/>
    <mergeCell ref="BI336:BJ336"/>
    <mergeCell ref="BI337:BJ337"/>
    <mergeCell ref="BI338:BJ338"/>
    <mergeCell ref="BI351:BJ351"/>
    <mergeCell ref="BI352:BJ352"/>
    <mergeCell ref="BI353:BJ353"/>
    <mergeCell ref="BI354:BJ354"/>
    <mergeCell ref="BI355:BJ355"/>
    <mergeCell ref="BI356:BJ356"/>
    <mergeCell ref="BI345:BJ345"/>
    <mergeCell ref="BI346:BJ346"/>
    <mergeCell ref="BI347:BJ347"/>
    <mergeCell ref="BI348:BJ348"/>
    <mergeCell ref="BI349:BJ349"/>
    <mergeCell ref="BI350:BJ350"/>
    <mergeCell ref="BI363:BJ363"/>
    <mergeCell ref="BI364:BJ364"/>
    <mergeCell ref="BI365:BJ365"/>
    <mergeCell ref="BI366:BJ366"/>
    <mergeCell ref="BI367:BJ367"/>
    <mergeCell ref="BI368:BJ368"/>
    <mergeCell ref="BI357:BJ357"/>
    <mergeCell ref="BI358:BJ358"/>
    <mergeCell ref="BI359:BJ359"/>
    <mergeCell ref="BI360:BJ360"/>
    <mergeCell ref="BI361:BJ361"/>
    <mergeCell ref="BI362:BJ362"/>
    <mergeCell ref="BI375:BJ375"/>
    <mergeCell ref="BI376:BJ376"/>
    <mergeCell ref="BI377:BJ377"/>
    <mergeCell ref="BI378:BJ378"/>
    <mergeCell ref="BI379:BJ379"/>
    <mergeCell ref="BI380:BJ380"/>
    <mergeCell ref="BI369:BJ369"/>
    <mergeCell ref="BI370:BJ370"/>
    <mergeCell ref="BI371:BJ371"/>
    <mergeCell ref="BI372:BJ372"/>
    <mergeCell ref="BI373:BJ373"/>
    <mergeCell ref="BI374:BJ374"/>
    <mergeCell ref="BI387:BJ387"/>
    <mergeCell ref="BI388:BJ388"/>
    <mergeCell ref="BI389:BJ389"/>
    <mergeCell ref="BI390:BJ390"/>
    <mergeCell ref="BI391:BJ391"/>
    <mergeCell ref="BI392:BJ392"/>
    <mergeCell ref="BI381:BJ381"/>
    <mergeCell ref="BI382:BJ382"/>
    <mergeCell ref="BI383:BJ383"/>
    <mergeCell ref="BI384:BJ384"/>
    <mergeCell ref="BI385:BJ385"/>
    <mergeCell ref="BI386:BJ386"/>
    <mergeCell ref="BI399:BJ399"/>
    <mergeCell ref="BI400:BJ400"/>
    <mergeCell ref="BI401:BJ401"/>
    <mergeCell ref="BI402:BJ402"/>
    <mergeCell ref="BI403:BJ403"/>
    <mergeCell ref="BI404:BJ404"/>
    <mergeCell ref="BI393:BJ393"/>
    <mergeCell ref="BI394:BJ394"/>
    <mergeCell ref="BI395:BJ395"/>
    <mergeCell ref="BI396:BJ396"/>
    <mergeCell ref="BI397:BJ397"/>
    <mergeCell ref="BI398:BJ398"/>
    <mergeCell ref="BI411:BJ411"/>
    <mergeCell ref="BI412:BJ412"/>
    <mergeCell ref="BI413:BJ413"/>
    <mergeCell ref="BI414:BJ414"/>
    <mergeCell ref="BI415:BJ415"/>
    <mergeCell ref="BI416:BJ416"/>
    <mergeCell ref="BI405:BJ405"/>
    <mergeCell ref="BI406:BJ406"/>
    <mergeCell ref="BI407:BJ407"/>
    <mergeCell ref="BI408:BJ408"/>
    <mergeCell ref="BI409:BJ409"/>
    <mergeCell ref="BI410:BJ410"/>
    <mergeCell ref="BI423:BJ423"/>
    <mergeCell ref="BI424:BJ424"/>
    <mergeCell ref="BI425:BJ425"/>
    <mergeCell ref="BI426:BJ426"/>
    <mergeCell ref="BI427:BJ427"/>
    <mergeCell ref="BI428:BJ428"/>
    <mergeCell ref="BI417:BJ417"/>
    <mergeCell ref="BI418:BJ418"/>
    <mergeCell ref="BI419:BJ419"/>
    <mergeCell ref="BI420:BJ420"/>
    <mergeCell ref="BI421:BJ421"/>
    <mergeCell ref="BI422:BJ422"/>
    <mergeCell ref="BI435:BJ435"/>
    <mergeCell ref="BI436:BJ436"/>
    <mergeCell ref="BI437:BJ437"/>
    <mergeCell ref="BI438:BJ438"/>
    <mergeCell ref="BI439:BJ439"/>
    <mergeCell ref="BI440:BJ440"/>
    <mergeCell ref="BI429:BJ429"/>
    <mergeCell ref="BI430:BJ430"/>
    <mergeCell ref="BI431:BJ431"/>
    <mergeCell ref="BI432:BJ432"/>
    <mergeCell ref="BI433:BJ433"/>
    <mergeCell ref="BI434:BJ434"/>
    <mergeCell ref="BI447:BJ447"/>
    <mergeCell ref="BI448:BJ448"/>
    <mergeCell ref="BI449:BJ449"/>
    <mergeCell ref="BI450:BJ450"/>
    <mergeCell ref="BI451:BJ451"/>
    <mergeCell ref="BI452:BJ452"/>
    <mergeCell ref="BI441:BJ441"/>
    <mergeCell ref="BI442:BJ442"/>
    <mergeCell ref="BI443:BJ443"/>
    <mergeCell ref="BI444:BJ444"/>
    <mergeCell ref="BI445:BJ445"/>
    <mergeCell ref="BI446:BJ446"/>
    <mergeCell ref="BI459:BJ459"/>
    <mergeCell ref="BI460:BJ460"/>
    <mergeCell ref="BI461:BJ461"/>
    <mergeCell ref="BI462:BJ462"/>
    <mergeCell ref="BI463:BJ463"/>
    <mergeCell ref="BI464:BJ464"/>
    <mergeCell ref="BI453:BJ453"/>
    <mergeCell ref="BI454:BJ454"/>
    <mergeCell ref="BI455:BJ455"/>
    <mergeCell ref="BI456:BJ456"/>
    <mergeCell ref="BI457:BJ457"/>
    <mergeCell ref="BI458:BJ458"/>
    <mergeCell ref="BI471:BJ471"/>
    <mergeCell ref="BI472:BJ472"/>
    <mergeCell ref="BI473:BJ473"/>
    <mergeCell ref="BI474:BJ474"/>
    <mergeCell ref="BI475:BJ475"/>
    <mergeCell ref="BI476:BJ476"/>
    <mergeCell ref="BI465:BJ465"/>
    <mergeCell ref="BI466:BJ466"/>
    <mergeCell ref="BI467:BJ467"/>
    <mergeCell ref="BI468:BJ468"/>
    <mergeCell ref="BI469:BJ469"/>
    <mergeCell ref="BI470:BJ470"/>
    <mergeCell ref="BI483:BJ483"/>
    <mergeCell ref="BI484:BJ484"/>
    <mergeCell ref="BI485:BJ485"/>
    <mergeCell ref="BI486:BJ486"/>
    <mergeCell ref="BI487:BJ487"/>
    <mergeCell ref="BI488:BJ488"/>
    <mergeCell ref="BI477:BJ477"/>
    <mergeCell ref="BI478:BJ478"/>
    <mergeCell ref="BI479:BJ479"/>
    <mergeCell ref="BI480:BJ480"/>
    <mergeCell ref="BI481:BJ481"/>
    <mergeCell ref="BI482:BJ482"/>
    <mergeCell ref="BI495:BJ495"/>
    <mergeCell ref="BI496:BJ496"/>
    <mergeCell ref="BI497:BJ497"/>
    <mergeCell ref="BI498:BJ498"/>
    <mergeCell ref="BI499:BJ499"/>
    <mergeCell ref="BI500:BJ500"/>
    <mergeCell ref="BI489:BJ489"/>
    <mergeCell ref="BI490:BJ490"/>
    <mergeCell ref="BI491:BJ491"/>
    <mergeCell ref="BI492:BJ492"/>
    <mergeCell ref="BI493:BJ493"/>
    <mergeCell ref="BI494:BJ494"/>
    <mergeCell ref="BI507:BJ507"/>
    <mergeCell ref="BI508:BJ508"/>
    <mergeCell ref="BI509:BJ509"/>
    <mergeCell ref="BI510:BJ510"/>
    <mergeCell ref="BI511:BJ511"/>
    <mergeCell ref="BI512:BJ512"/>
    <mergeCell ref="BI501:BJ501"/>
    <mergeCell ref="BI502:BJ502"/>
    <mergeCell ref="BI503:BJ503"/>
    <mergeCell ref="BI504:BJ504"/>
    <mergeCell ref="BI505:BJ505"/>
    <mergeCell ref="BI506:BJ506"/>
    <mergeCell ref="BI519:BJ519"/>
    <mergeCell ref="BI520:BJ520"/>
    <mergeCell ref="BI521:BJ521"/>
    <mergeCell ref="BI522:BJ522"/>
    <mergeCell ref="BI523:BJ523"/>
    <mergeCell ref="BI524:BJ524"/>
    <mergeCell ref="BI513:BJ513"/>
    <mergeCell ref="BI514:BJ514"/>
    <mergeCell ref="BI515:BJ515"/>
    <mergeCell ref="BI516:BJ516"/>
    <mergeCell ref="BI517:BJ517"/>
    <mergeCell ref="BI518:BJ518"/>
    <mergeCell ref="BI531:BJ531"/>
    <mergeCell ref="BI532:BJ532"/>
    <mergeCell ref="BI533:BJ533"/>
    <mergeCell ref="BI534:BJ534"/>
    <mergeCell ref="BI535:BJ535"/>
    <mergeCell ref="BI536:BJ536"/>
    <mergeCell ref="BI525:BJ525"/>
    <mergeCell ref="BI526:BJ526"/>
    <mergeCell ref="BI527:BJ527"/>
    <mergeCell ref="BI528:BJ528"/>
    <mergeCell ref="BI529:BJ529"/>
    <mergeCell ref="BI530:BJ530"/>
    <mergeCell ref="BI543:BJ543"/>
    <mergeCell ref="BI544:BJ544"/>
    <mergeCell ref="BI545:BJ545"/>
    <mergeCell ref="BI546:BJ546"/>
    <mergeCell ref="BI547:BJ547"/>
    <mergeCell ref="BI548:BJ548"/>
    <mergeCell ref="BI537:BJ537"/>
    <mergeCell ref="BI538:BJ538"/>
    <mergeCell ref="BI539:BJ539"/>
    <mergeCell ref="BI540:BJ540"/>
    <mergeCell ref="BI541:BJ541"/>
    <mergeCell ref="BI542:BJ542"/>
    <mergeCell ref="BI555:BJ555"/>
    <mergeCell ref="BI556:BJ556"/>
    <mergeCell ref="BI557:BJ557"/>
    <mergeCell ref="BI558:BJ558"/>
    <mergeCell ref="BI559:BJ559"/>
    <mergeCell ref="BI560:BJ560"/>
    <mergeCell ref="BI549:BJ549"/>
    <mergeCell ref="BI550:BJ550"/>
    <mergeCell ref="BI551:BJ551"/>
    <mergeCell ref="BI552:BJ552"/>
    <mergeCell ref="BI553:BJ553"/>
    <mergeCell ref="BI554:BJ554"/>
    <mergeCell ref="BI567:BJ567"/>
    <mergeCell ref="BI568:BJ568"/>
    <mergeCell ref="BI569:BJ569"/>
    <mergeCell ref="BI570:BJ570"/>
    <mergeCell ref="BI571:BJ571"/>
    <mergeCell ref="BI572:BJ572"/>
    <mergeCell ref="BI561:BJ561"/>
    <mergeCell ref="BI562:BJ562"/>
    <mergeCell ref="BI563:BJ563"/>
    <mergeCell ref="BI564:BJ564"/>
    <mergeCell ref="BI565:BJ565"/>
    <mergeCell ref="BI566:BJ566"/>
    <mergeCell ref="BI579:BJ579"/>
    <mergeCell ref="BI580:BJ580"/>
    <mergeCell ref="BI581:BJ581"/>
    <mergeCell ref="BI582:BJ582"/>
    <mergeCell ref="BI583:BJ583"/>
    <mergeCell ref="BI584:BJ584"/>
    <mergeCell ref="BI573:BJ573"/>
    <mergeCell ref="BI574:BJ574"/>
    <mergeCell ref="BI575:BJ575"/>
    <mergeCell ref="BI576:BJ576"/>
    <mergeCell ref="BI577:BJ577"/>
    <mergeCell ref="BI578:BJ578"/>
    <mergeCell ref="BI591:BJ591"/>
    <mergeCell ref="BI592:BJ592"/>
    <mergeCell ref="BI593:BJ593"/>
    <mergeCell ref="BI594:BJ594"/>
    <mergeCell ref="BI595:BJ595"/>
    <mergeCell ref="BI596:BJ596"/>
    <mergeCell ref="BI585:BJ585"/>
    <mergeCell ref="BI586:BJ586"/>
    <mergeCell ref="BI587:BJ587"/>
    <mergeCell ref="BI588:BJ588"/>
    <mergeCell ref="BI589:BJ589"/>
    <mergeCell ref="BI590:BJ590"/>
    <mergeCell ref="BI609:BJ609"/>
    <mergeCell ref="BI610:BJ610"/>
    <mergeCell ref="BI603:BJ603"/>
    <mergeCell ref="BI604:BJ604"/>
    <mergeCell ref="BI605:BJ605"/>
    <mergeCell ref="BI606:BJ606"/>
    <mergeCell ref="BI607:BJ607"/>
    <mergeCell ref="BI608:BJ608"/>
    <mergeCell ref="BI597:BJ597"/>
    <mergeCell ref="BI598:BJ598"/>
    <mergeCell ref="BI599:BJ599"/>
    <mergeCell ref="BI600:BJ600"/>
    <mergeCell ref="BI601:BJ601"/>
    <mergeCell ref="BI602:BJ602"/>
  </mergeCells>
  <phoneticPr fontId="14"/>
  <dataValidations count="1">
    <dataValidation type="list" allowBlank="1" showInputMessage="1" showErrorMessage="1" sqref="BI110:BJ610 BI5:BJ108" xr:uid="{52D90522-8C8C-4CFE-B5A4-002D401E0EAD}">
      <formula1>$CJ$2:$CJ$5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A51A5F4CAB74F98D3630FDB7EA7BF" ma:contentTypeVersion="11" ma:contentTypeDescription="Create a new document." ma:contentTypeScope="" ma:versionID="ce6cc6f3148c8318337a0aff406fb62c">
  <xsd:schema xmlns:xsd="http://www.w3.org/2001/XMLSchema" xmlns:xs="http://www.w3.org/2001/XMLSchema" xmlns:p="http://schemas.microsoft.com/office/2006/metadata/properties" xmlns:ns2="19551f2c-b6c3-4605-9797-2d125d5e2e19" xmlns:ns3="cf36d02c-ed93-4d3d-91e9-c070592e3249" targetNamespace="http://schemas.microsoft.com/office/2006/metadata/properties" ma:root="true" ma:fieldsID="83cff2367119fc23fd97a4970e505545" ns2:_="" ns3:_="">
    <xsd:import namespace="19551f2c-b6c3-4605-9797-2d125d5e2e19"/>
    <xsd:import namespace="cf36d02c-ed93-4d3d-91e9-c070592e3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1f2c-b6c3-4605-9797-2d125d5e2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6d02c-ed93-4d3d-91e9-c070592e32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C84DC-03D9-475C-9C43-93F214B082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2B8B95-6C76-4BBB-ABE0-A3D6ACF2904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D817A0-719C-4338-BCF4-564BC27D9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1f2c-b6c3-4605-9797-2d125d5e2e19"/>
    <ds:schemaRef ds:uri="cf36d02c-ed93-4d3d-91e9-c070592e32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TRUNG VU DUC</dc:creator>
  <cp:keywords/>
  <dc:description/>
  <cp:lastModifiedBy>Chu Viet Anh</cp:lastModifiedBy>
  <cp:revision/>
  <dcterms:created xsi:type="dcterms:W3CDTF">2022-06-23T01:41:30Z</dcterms:created>
  <dcterms:modified xsi:type="dcterms:W3CDTF">2026-02-26T10:58:52Z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0x010100168A51A5F4CAB74F98D3630FDB7EA7BF</vt:lpwstr>
  </property>
</Properties>
</file>